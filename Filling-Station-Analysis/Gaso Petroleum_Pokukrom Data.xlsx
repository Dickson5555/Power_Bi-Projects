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PA DICKSON\Downloads\"/>
    </mc:Choice>
  </mc:AlternateContent>
  <xr:revisionPtr revIDLastSave="0" documentId="13_ncr:1_{709000FD-2EBD-41EB-9DDF-C5F034113845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Products" sheetId="1" r:id="rId1"/>
    <sheet name="Attendants" sheetId="2" r:id="rId2"/>
    <sheet name="Tank_Readings" sheetId="3" r:id="rId3"/>
    <sheet name="Corporate_Credit_Sales" sheetId="4" r:id="rId4"/>
    <sheet name="Credit_Sales" sheetId="5" r:id="rId5"/>
    <sheet name="Expenses" sheetId="6" r:id="rId6"/>
    <sheet name="Transporters" sheetId="7" r:id="rId7"/>
    <sheet name="Calendar" sheetId="8" r:id="rId8"/>
    <sheet name="Sal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7" i="9" l="1"/>
  <c r="K187" i="9" s="1"/>
  <c r="I186" i="9"/>
  <c r="K186" i="9" s="1"/>
  <c r="K185" i="9"/>
  <c r="I185" i="9"/>
  <c r="I184" i="9"/>
  <c r="K184" i="9" s="1"/>
  <c r="K183" i="9"/>
  <c r="I183" i="9"/>
  <c r="I182" i="9"/>
  <c r="K182" i="9" s="1"/>
  <c r="L182" i="9" s="1"/>
  <c r="K181" i="9"/>
  <c r="I181" i="9"/>
  <c r="I180" i="9"/>
  <c r="K180" i="9" s="1"/>
  <c r="K179" i="9"/>
  <c r="I179" i="9"/>
  <c r="I178" i="9"/>
  <c r="K178" i="9" s="1"/>
  <c r="K177" i="9"/>
  <c r="I177" i="9"/>
  <c r="K176" i="9"/>
  <c r="L176" i="9" s="1"/>
  <c r="I176" i="9"/>
  <c r="I175" i="9"/>
  <c r="K175" i="9" s="1"/>
  <c r="K174" i="9"/>
  <c r="I174" i="9"/>
  <c r="I173" i="9"/>
  <c r="K173" i="9" s="1"/>
  <c r="K172" i="9"/>
  <c r="M170" i="9" s="1"/>
  <c r="I172" i="9"/>
  <c r="I171" i="9"/>
  <c r="K171" i="9" s="1"/>
  <c r="L170" i="9" s="1"/>
  <c r="K170" i="9"/>
  <c r="I170" i="9"/>
  <c r="I169" i="9"/>
  <c r="K169" i="9" s="1"/>
  <c r="K168" i="9"/>
  <c r="I168" i="9"/>
  <c r="I167" i="9"/>
  <c r="K167" i="9" s="1"/>
  <c r="K166" i="9"/>
  <c r="I166" i="9"/>
  <c r="I165" i="9"/>
  <c r="K165" i="9" s="1"/>
  <c r="I164" i="9"/>
  <c r="K164" i="9" s="1"/>
  <c r="K163" i="9"/>
  <c r="I163" i="9"/>
  <c r="I162" i="9"/>
  <c r="K162" i="9" s="1"/>
  <c r="K161" i="9"/>
  <c r="I161" i="9"/>
  <c r="I160" i="9"/>
  <c r="K160" i="9" s="1"/>
  <c r="K159" i="9"/>
  <c r="I159" i="9"/>
  <c r="I158" i="9"/>
  <c r="K158" i="9" s="1"/>
  <c r="L158" i="9" s="1"/>
  <c r="K157" i="9"/>
  <c r="I157" i="9"/>
  <c r="I156" i="9"/>
  <c r="K156" i="9" s="1"/>
  <c r="K155" i="9"/>
  <c r="I155" i="9"/>
  <c r="I154" i="9"/>
  <c r="K154" i="9" s="1"/>
  <c r="K153" i="9"/>
  <c r="I153" i="9"/>
  <c r="K152" i="9"/>
  <c r="L152" i="9" s="1"/>
  <c r="I152" i="9"/>
  <c r="I151" i="9"/>
  <c r="K151" i="9" s="1"/>
  <c r="K150" i="9"/>
  <c r="I150" i="9"/>
  <c r="I149" i="9"/>
  <c r="K149" i="9" s="1"/>
  <c r="K148" i="9"/>
  <c r="M146" i="9" s="1"/>
  <c r="I148" i="9"/>
  <c r="I147" i="9"/>
  <c r="K147" i="9" s="1"/>
  <c r="L146" i="9"/>
  <c r="K146" i="9"/>
  <c r="I146" i="9"/>
  <c r="I145" i="9"/>
  <c r="K145" i="9" s="1"/>
  <c r="M140" i="9" s="1"/>
  <c r="I144" i="9"/>
  <c r="K144" i="9" s="1"/>
  <c r="I143" i="9"/>
  <c r="K143" i="9" s="1"/>
  <c r="I142" i="9"/>
  <c r="K142" i="9" s="1"/>
  <c r="K141" i="9"/>
  <c r="I141" i="9"/>
  <c r="I140" i="9"/>
  <c r="K140" i="9" s="1"/>
  <c r="L140" i="9" s="1"/>
  <c r="N140" i="9" s="1"/>
  <c r="W140" i="9" s="1"/>
  <c r="Y140" i="9" s="1"/>
  <c r="K139" i="9"/>
  <c r="I139" i="9"/>
  <c r="I138" i="9"/>
  <c r="K138" i="9" s="1"/>
  <c r="K137" i="9"/>
  <c r="I137" i="9"/>
  <c r="I136" i="9"/>
  <c r="K136" i="9" s="1"/>
  <c r="K135" i="9"/>
  <c r="I135" i="9"/>
  <c r="I134" i="9"/>
  <c r="K134" i="9" s="1"/>
  <c r="L134" i="9" s="1"/>
  <c r="K133" i="9"/>
  <c r="I133" i="9"/>
  <c r="I132" i="9"/>
  <c r="K132" i="9" s="1"/>
  <c r="I131" i="9"/>
  <c r="K131" i="9" s="1"/>
  <c r="I130" i="9"/>
  <c r="K130" i="9" s="1"/>
  <c r="I129" i="9"/>
  <c r="K129" i="9" s="1"/>
  <c r="K128" i="9"/>
  <c r="L128" i="9" s="1"/>
  <c r="I128" i="9"/>
  <c r="I127" i="9"/>
  <c r="K127" i="9" s="1"/>
  <c r="K126" i="9"/>
  <c r="I126" i="9"/>
  <c r="I125" i="9"/>
  <c r="K125" i="9" s="1"/>
  <c r="K124" i="9"/>
  <c r="M122" i="9" s="1"/>
  <c r="I124" i="9"/>
  <c r="I123" i="9"/>
  <c r="K123" i="9" s="1"/>
  <c r="L122" i="9"/>
  <c r="I122" i="9"/>
  <c r="K122" i="9" s="1"/>
  <c r="I121" i="9"/>
  <c r="K121" i="9" s="1"/>
  <c r="I120" i="9"/>
  <c r="K120" i="9" s="1"/>
  <c r="K119" i="9"/>
  <c r="I119" i="9"/>
  <c r="I118" i="9"/>
  <c r="K118" i="9" s="1"/>
  <c r="M116" i="9" s="1"/>
  <c r="I117" i="9"/>
  <c r="I40" i="3" s="1"/>
  <c r="J40" i="3" s="1"/>
  <c r="I116" i="9"/>
  <c r="K116" i="9" s="1"/>
  <c r="K115" i="9"/>
  <c r="I115" i="9"/>
  <c r="I114" i="9"/>
  <c r="K114" i="9" s="1"/>
  <c r="K113" i="9"/>
  <c r="I113" i="9"/>
  <c r="I112" i="9"/>
  <c r="K112" i="9" s="1"/>
  <c r="K111" i="9"/>
  <c r="I111" i="9"/>
  <c r="K110" i="9"/>
  <c r="L110" i="9" s="1"/>
  <c r="I110" i="9"/>
  <c r="K109" i="9"/>
  <c r="I109" i="9"/>
  <c r="K108" i="9"/>
  <c r="I108" i="9"/>
  <c r="I107" i="9"/>
  <c r="K107" i="9" s="1"/>
  <c r="I106" i="9"/>
  <c r="K106" i="9" s="1"/>
  <c r="I105" i="9"/>
  <c r="K105" i="9" s="1"/>
  <c r="K104" i="9"/>
  <c r="L104" i="9" s="1"/>
  <c r="I104" i="9"/>
  <c r="I103" i="9"/>
  <c r="K103" i="9" s="1"/>
  <c r="K102" i="9"/>
  <c r="I102" i="9"/>
  <c r="I101" i="9"/>
  <c r="K101" i="9" s="1"/>
  <c r="M98" i="9" s="1"/>
  <c r="K100" i="9"/>
  <c r="I100" i="9"/>
  <c r="I99" i="9"/>
  <c r="K99" i="9" s="1"/>
  <c r="I98" i="9"/>
  <c r="K98" i="9" s="1"/>
  <c r="L98" i="9" s="1"/>
  <c r="N98" i="9" s="1"/>
  <c r="W98" i="9" s="1"/>
  <c r="Y98" i="9" s="1"/>
  <c r="K97" i="9"/>
  <c r="I97" i="9"/>
  <c r="I96" i="9"/>
  <c r="K96" i="9" s="1"/>
  <c r="I95" i="9"/>
  <c r="K95" i="9" s="1"/>
  <c r="M92" i="9" s="1"/>
  <c r="I94" i="9"/>
  <c r="K94" i="9" s="1"/>
  <c r="I93" i="9"/>
  <c r="K93" i="9" s="1"/>
  <c r="I92" i="9"/>
  <c r="K92" i="9" s="1"/>
  <c r="K91" i="9"/>
  <c r="I91" i="9"/>
  <c r="I90" i="9"/>
  <c r="K90" i="9" s="1"/>
  <c r="K89" i="9"/>
  <c r="I89" i="9"/>
  <c r="I88" i="9"/>
  <c r="K88" i="9" s="1"/>
  <c r="K87" i="9"/>
  <c r="I87" i="9"/>
  <c r="I86" i="9"/>
  <c r="K86" i="9" s="1"/>
  <c r="L86" i="9" s="1"/>
  <c r="I85" i="9"/>
  <c r="K85" i="9" s="1"/>
  <c r="K84" i="9"/>
  <c r="I84" i="9"/>
  <c r="I83" i="9"/>
  <c r="K83" i="9" s="1"/>
  <c r="K82" i="9"/>
  <c r="M80" i="9" s="1"/>
  <c r="I82" i="9"/>
  <c r="I81" i="9"/>
  <c r="K81" i="9" s="1"/>
  <c r="L80" i="9"/>
  <c r="K80" i="9"/>
  <c r="I80" i="9"/>
  <c r="I79" i="9"/>
  <c r="K79" i="9" s="1"/>
  <c r="K78" i="9"/>
  <c r="I78" i="9"/>
  <c r="I77" i="9"/>
  <c r="K77" i="9" s="1"/>
  <c r="K76" i="9"/>
  <c r="I76" i="9"/>
  <c r="I75" i="9"/>
  <c r="K75" i="9" s="1"/>
  <c r="M74" i="9"/>
  <c r="L74" i="9"/>
  <c r="I74" i="9"/>
  <c r="K74" i="9" s="1"/>
  <c r="I73" i="9"/>
  <c r="K73" i="9" s="1"/>
  <c r="M68" i="9" s="1"/>
  <c r="I72" i="9"/>
  <c r="K72" i="9" s="1"/>
  <c r="I71" i="9"/>
  <c r="K71" i="9" s="1"/>
  <c r="I70" i="9"/>
  <c r="K70" i="9" s="1"/>
  <c r="K69" i="9"/>
  <c r="I69" i="9"/>
  <c r="I68" i="9"/>
  <c r="K68" i="9" s="1"/>
  <c r="L68" i="9" s="1"/>
  <c r="K67" i="9"/>
  <c r="I67" i="9"/>
  <c r="I66" i="9"/>
  <c r="K66" i="9" s="1"/>
  <c r="K65" i="9"/>
  <c r="I65" i="9"/>
  <c r="I64" i="9"/>
  <c r="K64" i="9" s="1"/>
  <c r="K63" i="9"/>
  <c r="I63" i="9"/>
  <c r="I62" i="9"/>
  <c r="K62" i="9" s="1"/>
  <c r="L62" i="9" s="1"/>
  <c r="I61" i="9"/>
  <c r="K61" i="9" s="1"/>
  <c r="I60" i="9"/>
  <c r="K60" i="9" s="1"/>
  <c r="I59" i="9"/>
  <c r="K59" i="9" s="1"/>
  <c r="I58" i="9"/>
  <c r="K58" i="9" s="1"/>
  <c r="I57" i="9"/>
  <c r="K57" i="9" s="1"/>
  <c r="K56" i="9"/>
  <c r="L56" i="9" s="1"/>
  <c r="I56" i="9"/>
  <c r="I55" i="9"/>
  <c r="K55" i="9" s="1"/>
  <c r="K54" i="9"/>
  <c r="I54" i="9"/>
  <c r="I53" i="9"/>
  <c r="K53" i="9" s="1"/>
  <c r="K52" i="9"/>
  <c r="I52" i="9"/>
  <c r="I51" i="9"/>
  <c r="K51" i="9" s="1"/>
  <c r="I50" i="9"/>
  <c r="K50" i="9" s="1"/>
  <c r="L50" i="9" s="1"/>
  <c r="K49" i="9"/>
  <c r="I49" i="9"/>
  <c r="I48" i="9"/>
  <c r="K48" i="9" s="1"/>
  <c r="I47" i="9"/>
  <c r="K47" i="9" s="1"/>
  <c r="M44" i="9" s="1"/>
  <c r="I46" i="9"/>
  <c r="K46" i="9" s="1"/>
  <c r="I45" i="9"/>
  <c r="K45" i="9" s="1"/>
  <c r="I44" i="9"/>
  <c r="K44" i="9" s="1"/>
  <c r="K43" i="9"/>
  <c r="I43" i="9"/>
  <c r="I42" i="9"/>
  <c r="K42" i="9" s="1"/>
  <c r="K41" i="9"/>
  <c r="I41" i="9"/>
  <c r="I40" i="9"/>
  <c r="K40" i="9" s="1"/>
  <c r="M38" i="9" s="1"/>
  <c r="K39" i="9"/>
  <c r="I39" i="9"/>
  <c r="I38" i="9"/>
  <c r="K38" i="9" s="1"/>
  <c r="L38" i="9" s="1"/>
  <c r="N38" i="9" s="1"/>
  <c r="W38" i="9" s="1"/>
  <c r="Y38" i="9" s="1"/>
  <c r="I37" i="9"/>
  <c r="K37" i="9" s="1"/>
  <c r="K36" i="9"/>
  <c r="I36" i="9"/>
  <c r="I35" i="9"/>
  <c r="K35" i="9" s="1"/>
  <c r="I34" i="9"/>
  <c r="K34" i="9" s="1"/>
  <c r="M32" i="9" s="1"/>
  <c r="I33" i="9"/>
  <c r="K33" i="9" s="1"/>
  <c r="L32" i="9"/>
  <c r="K32" i="9"/>
  <c r="I32" i="9"/>
  <c r="I31" i="9"/>
  <c r="K31" i="9" s="1"/>
  <c r="K30" i="9"/>
  <c r="I30" i="9"/>
  <c r="I29" i="9"/>
  <c r="K29" i="9" s="1"/>
  <c r="M26" i="9" s="1"/>
  <c r="K28" i="9"/>
  <c r="I28" i="9"/>
  <c r="I27" i="9"/>
  <c r="K27" i="9" s="1"/>
  <c r="L26" i="9"/>
  <c r="I26" i="9"/>
  <c r="K26" i="9" s="1"/>
  <c r="K25" i="9"/>
  <c r="I25" i="9"/>
  <c r="I24" i="9"/>
  <c r="K24" i="9" s="1"/>
  <c r="I23" i="9"/>
  <c r="K23" i="9" s="1"/>
  <c r="I22" i="9"/>
  <c r="K22" i="9" s="1"/>
  <c r="K21" i="9"/>
  <c r="I21" i="9"/>
  <c r="M20" i="9"/>
  <c r="N20" i="9" s="1"/>
  <c r="W20" i="9" s="1"/>
  <c r="Y20" i="9" s="1"/>
  <c r="I20" i="9"/>
  <c r="K20" i="9" s="1"/>
  <c r="L20" i="9" s="1"/>
  <c r="K19" i="9"/>
  <c r="I19" i="9"/>
  <c r="I18" i="9"/>
  <c r="K18" i="9" s="1"/>
  <c r="K17" i="9"/>
  <c r="I17" i="9"/>
  <c r="I16" i="9"/>
  <c r="K16" i="9" s="1"/>
  <c r="K15" i="9"/>
  <c r="I15" i="9"/>
  <c r="I14" i="9"/>
  <c r="I6" i="3" s="1"/>
  <c r="I13" i="9"/>
  <c r="K13" i="9" s="1"/>
  <c r="I12" i="9"/>
  <c r="I5" i="3" s="1"/>
  <c r="I11" i="9"/>
  <c r="K11" i="9" s="1"/>
  <c r="I10" i="9"/>
  <c r="K10" i="9" s="1"/>
  <c r="I9" i="9"/>
  <c r="K9" i="9" s="1"/>
  <c r="L8" i="9"/>
  <c r="K8" i="9"/>
  <c r="I8" i="9"/>
  <c r="I7" i="9"/>
  <c r="K7" i="9" s="1"/>
  <c r="K6" i="9"/>
  <c r="M2" i="9" s="1"/>
  <c r="I6" i="9"/>
  <c r="I5" i="9"/>
  <c r="K5" i="9" s="1"/>
  <c r="K4" i="9"/>
  <c r="I4" i="9"/>
  <c r="I3" i="9"/>
  <c r="K3" i="9" s="1"/>
  <c r="L2" i="9"/>
  <c r="I2" i="9"/>
  <c r="K2" i="9" s="1"/>
  <c r="O11" i="7"/>
  <c r="L11" i="7"/>
  <c r="O10" i="7"/>
  <c r="M10" i="7"/>
  <c r="O9" i="7"/>
  <c r="M9" i="7"/>
  <c r="O8" i="7"/>
  <c r="L8" i="7"/>
  <c r="O7" i="7"/>
  <c r="O6" i="7"/>
  <c r="O5" i="7"/>
  <c r="M5" i="7"/>
  <c r="O4" i="7"/>
  <c r="L4" i="7"/>
  <c r="O3" i="7"/>
  <c r="L3" i="7"/>
  <c r="O2" i="7"/>
  <c r="M2" i="7"/>
  <c r="I4" i="5"/>
  <c r="I3" i="5"/>
  <c r="I2" i="5"/>
  <c r="I6" i="4"/>
  <c r="I5" i="4"/>
  <c r="I4" i="4"/>
  <c r="I3" i="4"/>
  <c r="I2" i="4"/>
  <c r="F63" i="3"/>
  <c r="H63" i="3" s="1"/>
  <c r="I62" i="3"/>
  <c r="J62" i="3" s="1"/>
  <c r="F62" i="3"/>
  <c r="H62" i="3" s="1"/>
  <c r="F61" i="3"/>
  <c r="H61" i="3" s="1"/>
  <c r="I60" i="3"/>
  <c r="J60" i="3" s="1"/>
  <c r="F60" i="3"/>
  <c r="H60" i="3" s="1"/>
  <c r="F59" i="3"/>
  <c r="H59" i="3" s="1"/>
  <c r="I58" i="3"/>
  <c r="J58" i="3" s="1"/>
  <c r="F58" i="3"/>
  <c r="H58" i="3" s="1"/>
  <c r="I57" i="3"/>
  <c r="F57" i="3"/>
  <c r="H57" i="3" s="1"/>
  <c r="F56" i="3"/>
  <c r="H56" i="3" s="1"/>
  <c r="F55" i="3"/>
  <c r="H55" i="3" s="1"/>
  <c r="I54" i="3"/>
  <c r="J54" i="3" s="1"/>
  <c r="F54" i="3"/>
  <c r="H54" i="3" s="1"/>
  <c r="I53" i="3"/>
  <c r="K53" i="3" s="1"/>
  <c r="F53" i="3"/>
  <c r="H53" i="3" s="1"/>
  <c r="I52" i="3"/>
  <c r="J52" i="3" s="1"/>
  <c r="F52" i="3"/>
  <c r="H52" i="3" s="1"/>
  <c r="F51" i="3"/>
  <c r="H51" i="3" s="1"/>
  <c r="I50" i="3"/>
  <c r="J50" i="3" s="1"/>
  <c r="F50" i="3"/>
  <c r="H50" i="3" s="1"/>
  <c r="F49" i="3"/>
  <c r="H49" i="3" s="1"/>
  <c r="F48" i="3"/>
  <c r="H48" i="3" s="1"/>
  <c r="F47" i="3"/>
  <c r="H47" i="3" s="1"/>
  <c r="I46" i="3"/>
  <c r="J46" i="3" s="1"/>
  <c r="F46" i="3"/>
  <c r="H46" i="3" s="1"/>
  <c r="I45" i="3"/>
  <c r="F45" i="3"/>
  <c r="H45" i="3" s="1"/>
  <c r="I44" i="3"/>
  <c r="J44" i="3" s="1"/>
  <c r="F44" i="3"/>
  <c r="H44" i="3" s="1"/>
  <c r="F43" i="3"/>
  <c r="H43" i="3" s="1"/>
  <c r="I42" i="3"/>
  <c r="J42" i="3" s="1"/>
  <c r="F42" i="3"/>
  <c r="H42" i="3" s="1"/>
  <c r="I41" i="3"/>
  <c r="F41" i="3"/>
  <c r="H41" i="3" s="1"/>
  <c r="F40" i="3"/>
  <c r="H40" i="3" s="1"/>
  <c r="K39" i="3"/>
  <c r="I39" i="3"/>
  <c r="F39" i="3"/>
  <c r="H39" i="3" s="1"/>
  <c r="I38" i="3"/>
  <c r="J38" i="3" s="1"/>
  <c r="F38" i="3"/>
  <c r="H38" i="3" s="1"/>
  <c r="I37" i="3"/>
  <c r="F37" i="3"/>
  <c r="H37" i="3" s="1"/>
  <c r="I36" i="3"/>
  <c r="J36" i="3" s="1"/>
  <c r="F36" i="3"/>
  <c r="H36" i="3" s="1"/>
  <c r="F35" i="3"/>
  <c r="H35" i="3" s="1"/>
  <c r="I34" i="3"/>
  <c r="J34" i="3" s="1"/>
  <c r="F34" i="3"/>
  <c r="H34" i="3" s="1"/>
  <c r="I33" i="3"/>
  <c r="F33" i="3"/>
  <c r="H33" i="3" s="1"/>
  <c r="F32" i="3"/>
  <c r="H32" i="3" s="1"/>
  <c r="F31" i="3"/>
  <c r="H31" i="3" s="1"/>
  <c r="I30" i="3"/>
  <c r="J30" i="3" s="1"/>
  <c r="F30" i="3"/>
  <c r="H30" i="3" s="1"/>
  <c r="I29" i="3"/>
  <c r="F29" i="3"/>
  <c r="H29" i="3" s="1"/>
  <c r="I28" i="3"/>
  <c r="J28" i="3" s="1"/>
  <c r="F28" i="3"/>
  <c r="H28" i="3" s="1"/>
  <c r="F27" i="3"/>
  <c r="H27" i="3" s="1"/>
  <c r="I26" i="3"/>
  <c r="J26" i="3" s="1"/>
  <c r="F26" i="3"/>
  <c r="H26" i="3" s="1"/>
  <c r="F25" i="3"/>
  <c r="H25" i="3" s="1"/>
  <c r="F24" i="3"/>
  <c r="H24" i="3" s="1"/>
  <c r="F23" i="3"/>
  <c r="H23" i="3" s="1"/>
  <c r="I22" i="3"/>
  <c r="J22" i="3" s="1"/>
  <c r="F22" i="3"/>
  <c r="H22" i="3" s="1"/>
  <c r="F21" i="3"/>
  <c r="H21" i="3" s="1"/>
  <c r="I20" i="3"/>
  <c r="J20" i="3" s="1"/>
  <c r="F20" i="3"/>
  <c r="H20" i="3" s="1"/>
  <c r="K19" i="3"/>
  <c r="I19" i="3"/>
  <c r="F19" i="3"/>
  <c r="H19" i="3" s="1"/>
  <c r="I18" i="3"/>
  <c r="J18" i="3" s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J12" i="3"/>
  <c r="I12" i="3"/>
  <c r="F12" i="3"/>
  <c r="H12" i="3" s="1"/>
  <c r="F11" i="3"/>
  <c r="H11" i="3" s="1"/>
  <c r="J10" i="3"/>
  <c r="I10" i="3"/>
  <c r="F10" i="3"/>
  <c r="H10" i="3" s="1"/>
  <c r="F9" i="3"/>
  <c r="H9" i="3" s="1"/>
  <c r="I8" i="3"/>
  <c r="F8" i="3"/>
  <c r="H8" i="3" s="1"/>
  <c r="J8" i="3" s="1"/>
  <c r="F7" i="3"/>
  <c r="H7" i="3" s="1"/>
  <c r="F6" i="3"/>
  <c r="H6" i="3" s="1"/>
  <c r="J6" i="3" s="1"/>
  <c r="K5" i="3"/>
  <c r="F5" i="3"/>
  <c r="H5" i="3" s="1"/>
  <c r="I4" i="3"/>
  <c r="F4" i="3"/>
  <c r="H4" i="3" s="1"/>
  <c r="J4" i="3" s="1"/>
  <c r="F3" i="3"/>
  <c r="H3" i="3" s="1"/>
  <c r="J2" i="3"/>
  <c r="I2" i="3"/>
  <c r="F2" i="3"/>
  <c r="H2" i="3" s="1"/>
  <c r="M164" i="9" l="1"/>
  <c r="K33" i="3"/>
  <c r="K37" i="3"/>
  <c r="K41" i="3"/>
  <c r="K45" i="3"/>
  <c r="N2" i="9"/>
  <c r="W2" i="9" s="1"/>
  <c r="Y2" i="9" s="1"/>
  <c r="N50" i="9"/>
  <c r="W50" i="9" s="1"/>
  <c r="Y50" i="9" s="1"/>
  <c r="N68" i="9"/>
  <c r="W68" i="9" s="1"/>
  <c r="Y68" i="9" s="1"/>
  <c r="K29" i="3"/>
  <c r="K57" i="3"/>
  <c r="M128" i="9"/>
  <c r="N128" i="9" s="1"/>
  <c r="W128" i="9" s="1"/>
  <c r="Y128" i="9" s="1"/>
  <c r="N152" i="9"/>
  <c r="W152" i="9" s="1"/>
  <c r="Y152" i="9" s="1"/>
  <c r="N170" i="9"/>
  <c r="W170" i="9" s="1"/>
  <c r="Y170" i="9" s="1"/>
  <c r="M56" i="9"/>
  <c r="N56" i="9" s="1"/>
  <c r="W56" i="9" s="1"/>
  <c r="Y56" i="9" s="1"/>
  <c r="L92" i="9"/>
  <c r="N92" i="9" s="1"/>
  <c r="W92" i="9" s="1"/>
  <c r="Y92" i="9" s="1"/>
  <c r="N122" i="9"/>
  <c r="W122" i="9" s="1"/>
  <c r="Y122" i="9" s="1"/>
  <c r="N146" i="9"/>
  <c r="W146" i="9" s="1"/>
  <c r="Y146" i="9" s="1"/>
  <c r="L164" i="9"/>
  <c r="N164" i="9" s="1"/>
  <c r="W164" i="9" s="1"/>
  <c r="Y164" i="9" s="1"/>
  <c r="I17" i="3"/>
  <c r="K17" i="3" s="1"/>
  <c r="I21" i="3"/>
  <c r="K21" i="3" s="1"/>
  <c r="I25" i="3"/>
  <c r="K25" i="3" s="1"/>
  <c r="I49" i="3"/>
  <c r="K49" i="3" s="1"/>
  <c r="I61" i="3"/>
  <c r="K61" i="3" s="1"/>
  <c r="K14" i="9"/>
  <c r="L14" i="9" s="1"/>
  <c r="M14" i="9"/>
  <c r="M104" i="9"/>
  <c r="N104" i="9" s="1"/>
  <c r="W104" i="9" s="1"/>
  <c r="Y104" i="9" s="1"/>
  <c r="K117" i="9"/>
  <c r="M176" i="9"/>
  <c r="N176" i="9" s="1"/>
  <c r="W176" i="9" s="1"/>
  <c r="Y176" i="9" s="1"/>
  <c r="I16" i="3"/>
  <c r="J16" i="3" s="1"/>
  <c r="I24" i="3"/>
  <c r="J24" i="3" s="1"/>
  <c r="I32" i="3"/>
  <c r="J32" i="3" s="1"/>
  <c r="I48" i="3"/>
  <c r="J48" i="3" s="1"/>
  <c r="I56" i="3"/>
  <c r="J56" i="3" s="1"/>
  <c r="K12" i="9"/>
  <c r="M8" i="9" s="1"/>
  <c r="N8" i="9" s="1"/>
  <c r="W8" i="9" s="1"/>
  <c r="Y8" i="9" s="1"/>
  <c r="N26" i="9"/>
  <c r="W26" i="9" s="1"/>
  <c r="Y26" i="9" s="1"/>
  <c r="N32" i="9"/>
  <c r="W32" i="9" s="1"/>
  <c r="Y32" i="9" s="1"/>
  <c r="M62" i="9"/>
  <c r="N62" i="9" s="1"/>
  <c r="W62" i="9" s="1"/>
  <c r="Y62" i="9" s="1"/>
  <c r="M86" i="9"/>
  <c r="N86" i="9" s="1"/>
  <c r="W86" i="9" s="1"/>
  <c r="Y86" i="9" s="1"/>
  <c r="L116" i="9"/>
  <c r="N116" i="9" s="1"/>
  <c r="W116" i="9" s="1"/>
  <c r="Y116" i="9" s="1"/>
  <c r="M134" i="9"/>
  <c r="N134" i="9" s="1"/>
  <c r="W134" i="9" s="1"/>
  <c r="Y134" i="9" s="1"/>
  <c r="M158" i="9"/>
  <c r="N158" i="9" s="1"/>
  <c r="W158" i="9" s="1"/>
  <c r="Y158" i="9" s="1"/>
  <c r="I3" i="3"/>
  <c r="K3" i="3" s="1"/>
  <c r="I7" i="3"/>
  <c r="K7" i="3" s="1"/>
  <c r="I9" i="3"/>
  <c r="K9" i="3" s="1"/>
  <c r="I11" i="3"/>
  <c r="K11" i="3" s="1"/>
  <c r="I13" i="3"/>
  <c r="K13" i="3" s="1"/>
  <c r="I14" i="3"/>
  <c r="J14" i="3" s="1"/>
  <c r="I15" i="3"/>
  <c r="K15" i="3" s="1"/>
  <c r="I23" i="3"/>
  <c r="K23" i="3" s="1"/>
  <c r="I27" i="3"/>
  <c r="K27" i="3" s="1"/>
  <c r="I31" i="3"/>
  <c r="K31" i="3" s="1"/>
  <c r="I35" i="3"/>
  <c r="K35" i="3" s="1"/>
  <c r="I43" i="3"/>
  <c r="K43" i="3" s="1"/>
  <c r="I47" i="3"/>
  <c r="K47" i="3" s="1"/>
  <c r="I51" i="3"/>
  <c r="K51" i="3" s="1"/>
  <c r="I55" i="3"/>
  <c r="K55" i="3" s="1"/>
  <c r="I59" i="3"/>
  <c r="K59" i="3" s="1"/>
  <c r="I63" i="3"/>
  <c r="K63" i="3" s="1"/>
  <c r="L44" i="9"/>
  <c r="N44" i="9" s="1"/>
  <c r="W44" i="9" s="1"/>
  <c r="Y44" i="9" s="1"/>
  <c r="M50" i="9"/>
  <c r="N74" i="9"/>
  <c r="W74" i="9" s="1"/>
  <c r="Y74" i="9" s="1"/>
  <c r="N80" i="9"/>
  <c r="W80" i="9" s="1"/>
  <c r="Y80" i="9" s="1"/>
  <c r="M152" i="9"/>
  <c r="N182" i="9"/>
  <c r="W182" i="9" s="1"/>
  <c r="Y182" i="9" s="1"/>
  <c r="M110" i="9"/>
  <c r="N110" i="9" s="1"/>
  <c r="W110" i="9" s="1"/>
  <c r="Y110" i="9" s="1"/>
  <c r="M182" i="9"/>
  <c r="N14" i="9" l="1"/>
  <c r="W14" i="9" s="1"/>
  <c r="Y14" i="9" s="1"/>
</calcChain>
</file>

<file path=xl/sharedStrings.xml><?xml version="1.0" encoding="utf-8"?>
<sst xmlns="http://schemas.openxmlformats.org/spreadsheetml/2006/main" count="1298" uniqueCount="184">
  <si>
    <t>Product_ID</t>
  </si>
  <si>
    <t>Product_Name</t>
  </si>
  <si>
    <t>Type</t>
  </si>
  <si>
    <t>Supplier</t>
  </si>
  <si>
    <t>PMS001</t>
  </si>
  <si>
    <t>PMS</t>
  </si>
  <si>
    <t>Super</t>
  </si>
  <si>
    <t>Fuel Trade</t>
  </si>
  <si>
    <t>AGO002</t>
  </si>
  <si>
    <t>AGO</t>
  </si>
  <si>
    <t>Diesel</t>
  </si>
  <si>
    <t>Attendant_ID</t>
  </si>
  <si>
    <t>Attendant_Name</t>
  </si>
  <si>
    <t>Gender</t>
  </si>
  <si>
    <t>Contact</t>
  </si>
  <si>
    <t>Employment_Status</t>
  </si>
  <si>
    <t>RITA001</t>
  </si>
  <si>
    <t>Rita Konadu</t>
  </si>
  <si>
    <t>F</t>
  </si>
  <si>
    <t>Active</t>
  </si>
  <si>
    <t>ABI002</t>
  </si>
  <si>
    <t>Abigail Bawah</t>
  </si>
  <si>
    <t>SILAS003</t>
  </si>
  <si>
    <t>Silas Seibu</t>
  </si>
  <si>
    <t>M</t>
  </si>
  <si>
    <t>BLESS004</t>
  </si>
  <si>
    <t>Blessing Kessben</t>
  </si>
  <si>
    <t>Date</t>
  </si>
  <si>
    <t>Tank_ID</t>
  </si>
  <si>
    <t>Opening_Dipping</t>
  </si>
  <si>
    <t>Product_Received</t>
  </si>
  <si>
    <t>Stock_on_Hand</t>
  </si>
  <si>
    <t>Closing_Dipping</t>
  </si>
  <si>
    <t>Tank_sales</t>
  </si>
  <si>
    <t>Pump_Sales</t>
  </si>
  <si>
    <t>Pms_Variance</t>
  </si>
  <si>
    <t xml:space="preserve">Variance </t>
  </si>
  <si>
    <t>Comments</t>
  </si>
  <si>
    <t>T001</t>
  </si>
  <si>
    <t>Delivery discrepancy</t>
  </si>
  <si>
    <t>T002</t>
  </si>
  <si>
    <t>Meter loss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</si>
  <si>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</si>
  <si>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</si>
  <si>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</si>
  <si>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</si>
  <si>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</si>
  <si>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</si>
  <si>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</si>
  <si>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</si>
  <si>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</si>
  <si>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</si>
  <si>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</si>
  <si>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</si>
  <si>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</si>
  <si>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</si>
  <si>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</si>
  <si>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</si>
  <si>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</si>
  <si>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</si>
  <si>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</si>
  <si>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Credit_ID</t>
  </si>
  <si>
    <t>Customer_Name</t>
  </si>
  <si>
    <t>BRV_Number</t>
  </si>
  <si>
    <t>Litres</t>
  </si>
  <si>
    <t>Litre_Price</t>
  </si>
  <si>
    <t xml:space="preserve">Amount </t>
  </si>
  <si>
    <t>Payment_Status</t>
  </si>
  <si>
    <t>CRKRL004</t>
  </si>
  <si>
    <t>Kraft Logisto</t>
  </si>
  <si>
    <t>GT-9967-16</t>
  </si>
  <si>
    <t>Settle with head office</t>
  </si>
  <si>
    <t>CRCLL001</t>
  </si>
  <si>
    <t>Carbon Logistics</t>
  </si>
  <si>
    <t>GN-647-18</t>
  </si>
  <si>
    <t>CRAB002</t>
  </si>
  <si>
    <t>Ali Abubakar</t>
  </si>
  <si>
    <t>GX-4293-14</t>
  </si>
  <si>
    <t>CRMO007</t>
  </si>
  <si>
    <t>Musah Osumanu</t>
  </si>
  <si>
    <t>GW-1939-17</t>
  </si>
  <si>
    <t>Car_Number/Person_Nmae</t>
  </si>
  <si>
    <t>CRKM001</t>
  </si>
  <si>
    <t>Klean Metro</t>
  </si>
  <si>
    <t>Agya Osei</t>
  </si>
  <si>
    <t>Paid</t>
  </si>
  <si>
    <t>Expense_ID</t>
  </si>
  <si>
    <t>Category</t>
  </si>
  <si>
    <t>Description</t>
  </si>
  <si>
    <t>Payment_Method</t>
  </si>
  <si>
    <t>Approved_By</t>
  </si>
  <si>
    <t>EX001</t>
  </si>
  <si>
    <t>Transportation</t>
  </si>
  <si>
    <t>TnT to Bank</t>
  </si>
  <si>
    <t>Cash</t>
  </si>
  <si>
    <t>Manager</t>
  </si>
  <si>
    <t>EX002</t>
  </si>
  <si>
    <t>Head Office Fuel</t>
  </si>
  <si>
    <t>office car</t>
  </si>
  <si>
    <t>settle by head office</t>
  </si>
  <si>
    <t>Auditor</t>
  </si>
  <si>
    <t>EX003</t>
  </si>
  <si>
    <t xml:space="preserve">Housekeeping </t>
  </si>
  <si>
    <t>Detergents</t>
  </si>
  <si>
    <t>EXP04</t>
  </si>
  <si>
    <t>Other</t>
  </si>
  <si>
    <t>outstation to Ops</t>
  </si>
  <si>
    <t>Mobil money</t>
  </si>
  <si>
    <t>Ops Manager</t>
  </si>
  <si>
    <t>EX005</t>
  </si>
  <si>
    <t>Stationery</t>
  </si>
  <si>
    <t>Photocopies and books</t>
  </si>
  <si>
    <t>EX006</t>
  </si>
  <si>
    <t>Gen set</t>
  </si>
  <si>
    <t>Fuel for Gen set</t>
  </si>
  <si>
    <t>Maintenance</t>
  </si>
  <si>
    <t>Hour Meter</t>
  </si>
  <si>
    <t>Transporter_Name</t>
  </si>
  <si>
    <t>Transporter_ID</t>
  </si>
  <si>
    <t xml:space="preserve">Invoice_Number </t>
  </si>
  <si>
    <t>Product_Type</t>
  </si>
  <si>
    <t>Loaded_Quantity</t>
  </si>
  <si>
    <t>Discharged_Quantity</t>
  </si>
  <si>
    <t>Initial_Dipping</t>
  </si>
  <si>
    <t>Final_Dipping</t>
  </si>
  <si>
    <t>Ago_Variance</t>
  </si>
  <si>
    <t>Unit_Price</t>
  </si>
  <si>
    <t>Amount_Product</t>
  </si>
  <si>
    <t>TRKL003</t>
  </si>
  <si>
    <t>GW-9421-X</t>
  </si>
  <si>
    <t>Emmak Logistic</t>
  </si>
  <si>
    <t>TREL002</t>
  </si>
  <si>
    <t>TRCLL001</t>
  </si>
  <si>
    <t>AS-4739-17</t>
  </si>
  <si>
    <t>Pony Com. Ltd</t>
  </si>
  <si>
    <t>TRPCL006</t>
  </si>
  <si>
    <t>GN-9644-18</t>
  </si>
  <si>
    <t>Astral Energy</t>
  </si>
  <si>
    <t>TRAE009</t>
  </si>
  <si>
    <t xml:space="preserve">Ali Abubakar </t>
  </si>
  <si>
    <t>TRAA0010</t>
  </si>
  <si>
    <t>GN-5653-20</t>
  </si>
  <si>
    <t>Mambah Gas</t>
  </si>
  <si>
    <t>TRMG007</t>
  </si>
  <si>
    <t>musah osumanu</t>
  </si>
  <si>
    <t>TRMO004</t>
  </si>
  <si>
    <t>Year</t>
  </si>
  <si>
    <t>Month</t>
  </si>
  <si>
    <t>Month_Name</t>
  </si>
  <si>
    <t>Day</t>
  </si>
  <si>
    <t>Day_Name</t>
  </si>
  <si>
    <t xml:space="preserve">July </t>
  </si>
  <si>
    <t>Tuesday</t>
  </si>
  <si>
    <t>Wednesday</t>
  </si>
  <si>
    <t>July</t>
  </si>
  <si>
    <t>Thursday</t>
  </si>
  <si>
    <t>Friday</t>
  </si>
  <si>
    <t>Saturday</t>
  </si>
  <si>
    <t>Sunday</t>
  </si>
  <si>
    <t>Monday</t>
  </si>
  <si>
    <t>Shift_Day</t>
  </si>
  <si>
    <t>Dispenser_Nozzle_No</t>
  </si>
  <si>
    <t xml:space="preserve">Opening_Meter_Reading </t>
  </si>
  <si>
    <t xml:space="preserve">Closing_Meter_Reading </t>
  </si>
  <si>
    <t>Return_to_Tank</t>
  </si>
  <si>
    <t>Litres_Sold</t>
  </si>
  <si>
    <t>Unit_Price _Perliter</t>
  </si>
  <si>
    <t>Total_Sales_Amount</t>
  </si>
  <si>
    <t>Pms_Total_Sales</t>
  </si>
  <si>
    <t>AGO_Total_Sales</t>
  </si>
  <si>
    <t>Total_Sales_All</t>
  </si>
  <si>
    <t>Expenses_TnT</t>
  </si>
  <si>
    <t>Expenses_H.O_Fuel</t>
  </si>
  <si>
    <t>Expenses_Dealer_Comm/Salaries</t>
  </si>
  <si>
    <t>Expenses_Hse_Detergents</t>
  </si>
  <si>
    <t>Expenses_Stationery</t>
  </si>
  <si>
    <t>Expenses_Utilities</t>
  </si>
  <si>
    <t>Expenses_other</t>
  </si>
  <si>
    <t>Credit_Sales</t>
  </si>
  <si>
    <t>TxT_Bank</t>
  </si>
  <si>
    <t>Actual_Banking</t>
  </si>
  <si>
    <t>Banking_Variance</t>
  </si>
  <si>
    <t>Wednes</t>
  </si>
  <si>
    <t xml:space="preserve">Saturday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</si>
</sst>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yyyy\-mm\-dd\ hh:mm:ss"/>
    <numFmt numFmtId="166" formatCode="&quot;$&quot;#,##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Lato"/>
    </font>
    <font>
      <b/>
      <sz val="11"/>
      <color theme="1"/>
      <name val="Calibri"/>
      <scheme val="minor"/>
    </font>
    <font>
      <b/>
      <sz val="11"/>
      <color rgb="FF000000"/>
      <name val="La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AFA"/>
        <bgColor rgb="FFF9FAFA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right" vertical="top"/>
    </xf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2" fontId="2" fillId="0" borderId="0" xfId="0" applyNumberFormat="1" applyFont="1"/>
    <xf numFmtId="165" fontId="3" fillId="0" borderId="0" xfId="0" applyNumberFormat="1" applyFont="1"/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4" borderId="0" xfId="0" applyNumberFormat="1" applyFont="1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2" fillId="4" borderId="0" xfId="0" applyNumberFormat="1" applyFont="1" applyFill="1"/>
    <xf numFmtId="166" fontId="2" fillId="4" borderId="0" xfId="0" applyNumberFormat="1" applyFont="1" applyFill="1" applyAlignment="1">
      <alignment horizontal="center" wrapText="1"/>
    </xf>
    <xf numFmtId="2" fontId="2" fillId="4" borderId="0" xfId="0" applyNumberFormat="1" applyFont="1" applyFill="1" applyAlignment="1">
      <alignment horizontal="center" wrapText="1"/>
    </xf>
    <xf numFmtId="164" fontId="2" fillId="5" borderId="0" xfId="0" applyNumberFormat="1" applyFont="1" applyFill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2" fontId="2" fillId="5" borderId="0" xfId="0" applyNumberFormat="1" applyFont="1" applyFill="1"/>
    <xf numFmtId="166" fontId="2" fillId="5" borderId="0" xfId="0" applyNumberFormat="1" applyFont="1" applyFill="1" applyAlignment="1">
      <alignment horizontal="center" wrapText="1"/>
    </xf>
    <xf numFmtId="2" fontId="2" fillId="5" borderId="0" xfId="0" applyNumberFormat="1" applyFont="1" applyFill="1" applyAlignment="1">
      <alignment horizont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53125" defaultRowHeight="15" customHeight="1" x14ac:dyDescent="0.35"/>
  <cols>
    <col min="1" max="1" width="13" customWidth="1"/>
    <col min="2" max="2" width="15.81640625" customWidth="1"/>
    <col min="3" max="3" width="11" customWidth="1"/>
    <col min="4" max="4" width="16" customWidth="1"/>
    <col min="5" max="26" width="8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4.5" x14ac:dyDescent="0.35">
      <c r="A3" s="2" t="s">
        <v>8</v>
      </c>
      <c r="B3" s="2" t="s">
        <v>9</v>
      </c>
      <c r="C3" s="2" t="s">
        <v>10</v>
      </c>
      <c r="D3" s="2" t="s">
        <v>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1" width="13.81640625" customWidth="1"/>
    <col min="2" max="2" width="17.453125" customWidth="1"/>
    <col min="3" max="3" width="11.81640625" customWidth="1"/>
    <col min="4" max="4" width="14.7265625" customWidth="1"/>
    <col min="5" max="5" width="19" customWidth="1"/>
    <col min="6" max="26" width="8.7265625" customWidth="1"/>
  </cols>
  <sheetData>
    <row r="1" spans="1:5" ht="14.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ht="14.5" x14ac:dyDescent="0.35">
      <c r="A2" s="2" t="s">
        <v>16</v>
      </c>
      <c r="B2" s="2" t="s">
        <v>17</v>
      </c>
      <c r="C2" s="2" t="s">
        <v>18</v>
      </c>
      <c r="D2" s="2">
        <v>596064379</v>
      </c>
      <c r="E2" s="2" t="s">
        <v>19</v>
      </c>
    </row>
    <row r="3" spans="1:5" ht="14.5" x14ac:dyDescent="0.35">
      <c r="A3" s="2" t="s">
        <v>20</v>
      </c>
      <c r="B3" s="2" t="s">
        <v>21</v>
      </c>
      <c r="C3" s="2" t="s">
        <v>18</v>
      </c>
      <c r="D3" s="2">
        <v>597257104</v>
      </c>
      <c r="E3" s="2" t="s">
        <v>19</v>
      </c>
    </row>
    <row r="4" spans="1:5" ht="14.5" x14ac:dyDescent="0.35">
      <c r="A4" s="2" t="s">
        <v>22</v>
      </c>
      <c r="B4" s="2" t="s">
        <v>23</v>
      </c>
      <c r="C4" s="2" t="s">
        <v>24</v>
      </c>
      <c r="D4" s="2">
        <v>541100101</v>
      </c>
      <c r="E4" s="2" t="s">
        <v>19</v>
      </c>
    </row>
    <row r="5" spans="1:5" ht="14.5" x14ac:dyDescent="0.35">
      <c r="A5" s="2" t="s">
        <v>25</v>
      </c>
      <c r="B5" s="2" t="s">
        <v>26</v>
      </c>
      <c r="C5" s="2" t="s">
        <v>24</v>
      </c>
      <c r="D5" s="2">
        <v>539336747</v>
      </c>
      <c r="E5" s="2" t="s">
        <v>19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53125" defaultRowHeight="15" customHeight="1" x14ac:dyDescent="0.35"/>
  <cols>
    <col min="1" max="1" width="13.26953125" customWidth="1"/>
    <col min="2" max="2" width="10.26953125" customWidth="1"/>
    <col min="3" max="3" width="12.08984375" customWidth="1"/>
    <col min="4" max="4" width="20.26953125" customWidth="1"/>
    <col min="5" max="5" width="19.26953125" customWidth="1"/>
    <col min="6" max="6" width="22.08984375" customWidth="1"/>
    <col min="7" max="7" width="18.453125" customWidth="1"/>
    <col min="8" max="11" width="16.7265625" customWidth="1"/>
    <col min="12" max="30" width="8.7265625" customWidth="1"/>
  </cols>
  <sheetData>
    <row r="1" spans="1:12" ht="14.5" x14ac:dyDescent="0.35">
      <c r="A1" s="3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ht="14.5" x14ac:dyDescent="0.35">
      <c r="A2" s="4">
        <v>45664</v>
      </c>
      <c r="B2" s="2" t="s">
        <v>38</v>
      </c>
      <c r="C2" s="2" t="s">
        <v>4</v>
      </c>
      <c r="D2" s="2">
        <v>9540</v>
      </c>
      <c r="F2" s="2">
        <f t="shared" ref="F2:F63" si="0">D2+E2</f>
        <v>9540</v>
      </c>
      <c r="G2" s="2">
        <v>7500</v>
      </c>
      <c r="H2" s="2">
        <f t="shared" ref="H2:H63" si="1">F2-G2</f>
        <v>2040</v>
      </c>
      <c r="I2" s="2">
        <f>Sales!I2 + Sales!I3</f>
        <v>2025.0100000000093</v>
      </c>
      <c r="J2" s="2">
        <f>I2-H2</f>
        <v>-14.989999999990687</v>
      </c>
      <c r="L2" s="2" t="s">
        <v>39</v>
      </c>
    </row>
    <row r="3" spans="1:12" ht="14.5" x14ac:dyDescent="0.35">
      <c r="A3" s="4">
        <v>45664</v>
      </c>
      <c r="B3" s="2" t="s">
        <v>40</v>
      </c>
      <c r="C3" s="2" t="s">
        <v>8</v>
      </c>
      <c r="D3" s="2">
        <v>9720</v>
      </c>
      <c r="F3" s="2">
        <f t="shared" si="0"/>
        <v>9720</v>
      </c>
      <c r="G3" s="2">
        <v>8900</v>
      </c>
      <c r="H3" s="2">
        <f t="shared" si="1"/>
        <v>820</v>
      </c>
      <c r="I3" s="2">
        <f>SUM(Sales!I4:I7)</f>
        <v>835.95999999996275</v>
      </c>
      <c r="K3" s="2">
        <f>I3-H3</f>
        <v>15.959999999962747</v>
      </c>
      <c r="L3" s="2" t="s">
        <v>41</v>
      </c>
    </row>
    <row r="4" spans="1:12" ht="14.5" x14ac:dyDescent="0.35">
      <c r="A4" s="5">
        <v>45695</v>
      </c>
      <c r="B4" s="2" t="s">
        <v>38</v>
      </c>
      <c r="C4" s="2" t="s">
        <v>4</v>
      </c>
      <c r="D4" s="2">
        <v>7500</v>
      </c>
      <c r="F4" s="2">
        <f t="shared" si="0"/>
        <v>7500</v>
      </c>
      <c r="G4" s="2">
        <v>6550</v>
      </c>
      <c r="H4" s="2">
        <f t="shared" si="1"/>
        <v>950</v>
      </c>
      <c r="I4" s="2">
        <f>Sales!I8 + Sales!I9</f>
        <v>983.04999999998836</v>
      </c>
      <c r="J4" s="2">
        <f>I4-H4</f>
        <v>33.049999999988358</v>
      </c>
    </row>
    <row r="5" spans="1:12" ht="14.5" x14ac:dyDescent="0.35">
      <c r="A5" s="5">
        <v>45695</v>
      </c>
      <c r="B5" s="2" t="s">
        <v>40</v>
      </c>
      <c r="C5" s="2" t="s">
        <v>8</v>
      </c>
      <c r="D5" s="2">
        <v>8900</v>
      </c>
      <c r="E5" s="2">
        <v>9000</v>
      </c>
      <c r="F5" s="2">
        <f t="shared" si="0"/>
        <v>17900</v>
      </c>
      <c r="G5" s="2">
        <v>14990</v>
      </c>
      <c r="H5" s="2">
        <f t="shared" si="1"/>
        <v>2910</v>
      </c>
      <c r="I5" s="2">
        <f>SUM(Sales!I10:I13)</f>
        <v>2924.0500000000466</v>
      </c>
      <c r="K5" s="2">
        <f>I5-H5</f>
        <v>14.050000000046566</v>
      </c>
    </row>
    <row r="6" spans="1:12" ht="14.5" x14ac:dyDescent="0.35">
      <c r="A6" s="5">
        <v>45723</v>
      </c>
      <c r="B6" s="2" t="s">
        <v>38</v>
      </c>
      <c r="C6" s="2" t="s">
        <v>4</v>
      </c>
      <c r="D6" s="2">
        <v>6550</v>
      </c>
      <c r="F6" s="2">
        <f t="shared" si="0"/>
        <v>6550</v>
      </c>
      <c r="G6" s="2">
        <v>5200</v>
      </c>
      <c r="H6" s="2">
        <f t="shared" si="1"/>
        <v>1350</v>
      </c>
      <c r="I6" s="2">
        <f>SUM(Sales!I14:I15)</f>
        <v>1364.8900000000722</v>
      </c>
      <c r="J6" s="2">
        <f>I6-H6</f>
        <v>14.890000000072177</v>
      </c>
    </row>
    <row r="7" spans="1:12" ht="14.5" x14ac:dyDescent="0.35">
      <c r="A7" s="5">
        <v>45723</v>
      </c>
      <c r="B7" s="2" t="s">
        <v>40</v>
      </c>
      <c r="C7" s="2" t="s">
        <v>8</v>
      </c>
      <c r="D7" s="2">
        <v>14990</v>
      </c>
      <c r="F7" s="2">
        <f t="shared" si="0"/>
        <v>14990</v>
      </c>
      <c r="G7" s="2">
        <v>11920</v>
      </c>
      <c r="H7" s="2">
        <f t="shared" si="1"/>
        <v>3070</v>
      </c>
      <c r="I7" s="2">
        <f>SUM(Sales!I16:I19)</f>
        <v>3084.570000000007</v>
      </c>
      <c r="K7" s="2">
        <f>I7-H7</f>
        <v>14.570000000006985</v>
      </c>
    </row>
    <row r="8" spans="1:12" ht="14.5" x14ac:dyDescent="0.35">
      <c r="A8" s="5">
        <v>45754</v>
      </c>
      <c r="B8" s="2" t="s">
        <v>38</v>
      </c>
      <c r="C8" s="2" t="s">
        <v>4</v>
      </c>
      <c r="D8" s="2">
        <v>5200</v>
      </c>
      <c r="F8" s="2">
        <f t="shared" si="0"/>
        <v>5200</v>
      </c>
      <c r="G8" s="2">
        <v>4050</v>
      </c>
      <c r="H8" s="2">
        <f t="shared" si="1"/>
        <v>1150</v>
      </c>
      <c r="I8" s="2">
        <f>SUM(Sales!I20:I21)</f>
        <v>1135.6099999999278</v>
      </c>
      <c r="J8" s="2">
        <f>I8-H8</f>
        <v>-14.390000000072177</v>
      </c>
    </row>
    <row r="9" spans="1:12" ht="14.5" x14ac:dyDescent="0.35">
      <c r="A9" s="5">
        <v>45754</v>
      </c>
      <c r="B9" s="2" t="s">
        <v>40</v>
      </c>
      <c r="C9" s="2" t="s">
        <v>8</v>
      </c>
      <c r="D9" s="2">
        <v>11920</v>
      </c>
      <c r="F9" s="2">
        <f t="shared" si="0"/>
        <v>11920</v>
      </c>
      <c r="G9" s="2">
        <v>11420</v>
      </c>
      <c r="H9" s="2">
        <f t="shared" si="1"/>
        <v>500</v>
      </c>
      <c r="I9" s="2">
        <f>SUM(Sales!I22:I25)</f>
        <v>516.3399999999674</v>
      </c>
      <c r="K9" s="2">
        <f>I9-H9</f>
        <v>16.339999999967404</v>
      </c>
    </row>
    <row r="10" spans="1:12" ht="14.5" x14ac:dyDescent="0.35">
      <c r="A10" s="5">
        <v>45784</v>
      </c>
      <c r="B10" s="2" t="s">
        <v>38</v>
      </c>
      <c r="C10" s="2" t="s">
        <v>4</v>
      </c>
      <c r="D10" s="2">
        <v>4050</v>
      </c>
      <c r="F10" s="2">
        <f t="shared" si="0"/>
        <v>4050</v>
      </c>
      <c r="G10" s="2">
        <v>3010</v>
      </c>
      <c r="H10" s="2">
        <f t="shared" si="1"/>
        <v>1040</v>
      </c>
      <c r="I10" s="2">
        <f>SUM(Sales!I26:I27)</f>
        <v>1030.6699999999837</v>
      </c>
      <c r="J10" s="2">
        <f>I10-H10</f>
        <v>-9.3300000000162981</v>
      </c>
    </row>
    <row r="11" spans="1:12" ht="14.5" x14ac:dyDescent="0.35">
      <c r="A11" s="5">
        <v>45784</v>
      </c>
      <c r="B11" s="2" t="s">
        <v>40</v>
      </c>
      <c r="C11" s="2" t="s">
        <v>8</v>
      </c>
      <c r="D11" s="2">
        <v>11420</v>
      </c>
      <c r="F11" s="2">
        <f t="shared" si="0"/>
        <v>11420</v>
      </c>
      <c r="G11" s="2">
        <v>11150</v>
      </c>
      <c r="H11" s="2">
        <f t="shared" si="1"/>
        <v>270</v>
      </c>
      <c r="I11" s="2">
        <f>SUM(Sales!I28:I31)</f>
        <v>290.28999999997905</v>
      </c>
      <c r="K11" s="2">
        <f>I11-H11</f>
        <v>20.289999999979045</v>
      </c>
    </row>
    <row r="12" spans="1:12" ht="14.5" x14ac:dyDescent="0.35">
      <c r="A12" s="5">
        <v>45815</v>
      </c>
      <c r="B12" s="2" t="s">
        <v>38</v>
      </c>
      <c r="C12" s="2" t="s">
        <v>4</v>
      </c>
      <c r="D12" s="2">
        <v>3010</v>
      </c>
      <c r="F12" s="2">
        <f t="shared" si="0"/>
        <v>3010</v>
      </c>
      <c r="G12" s="2">
        <v>1780</v>
      </c>
      <c r="H12" s="2">
        <f t="shared" si="1"/>
        <v>1230</v>
      </c>
      <c r="I12" s="2">
        <f>SUM(Sales!I32:I33)</f>
        <v>1261.2199999999721</v>
      </c>
      <c r="J12" s="2">
        <f>I12-H12</f>
        <v>31.21999999997206</v>
      </c>
    </row>
    <row r="13" spans="1:12" ht="14.5" x14ac:dyDescent="0.35">
      <c r="A13" s="5">
        <v>45815</v>
      </c>
      <c r="B13" s="2" t="s">
        <v>40</v>
      </c>
      <c r="C13" s="2" t="s">
        <v>8</v>
      </c>
      <c r="D13" s="2">
        <v>11150</v>
      </c>
      <c r="F13" s="2">
        <f t="shared" si="0"/>
        <v>11150</v>
      </c>
      <c r="G13" s="2">
        <v>10750</v>
      </c>
      <c r="H13" s="2">
        <f t="shared" si="1"/>
        <v>400</v>
      </c>
      <c r="I13" s="2">
        <f>SUM(Sales!I34:I37)</f>
        <v>393.13000000006286</v>
      </c>
      <c r="K13" s="2">
        <f>I13-H13</f>
        <v>-6.8699999999371357</v>
      </c>
    </row>
    <row r="14" spans="1:12" ht="14.5" x14ac:dyDescent="0.35">
      <c r="A14" s="5">
        <v>45845</v>
      </c>
      <c r="B14" s="2" t="s">
        <v>38</v>
      </c>
      <c r="C14" s="2" t="s">
        <v>4</v>
      </c>
      <c r="D14" s="2">
        <v>1780</v>
      </c>
      <c r="F14" s="2">
        <f t="shared" si="0"/>
        <v>1780</v>
      </c>
      <c r="G14" s="2">
        <v>420</v>
      </c>
      <c r="H14" s="2">
        <f t="shared" si="1"/>
        <v>1360</v>
      </c>
      <c r="I14" s="2">
        <f>SUM(Sales!I38:I39)</f>
        <v>1325.1000000000349</v>
      </c>
      <c r="J14" s="2">
        <f>I14-H14</f>
        <v>-34.899999999965075</v>
      </c>
    </row>
    <row r="15" spans="1:12" ht="14.5" x14ac:dyDescent="0.35">
      <c r="A15" s="5">
        <v>45845</v>
      </c>
      <c r="B15" s="2" t="s">
        <v>40</v>
      </c>
      <c r="C15" s="2" t="s">
        <v>8</v>
      </c>
      <c r="D15" s="2">
        <v>10750</v>
      </c>
      <c r="F15" s="2">
        <f t="shared" si="0"/>
        <v>10750</v>
      </c>
      <c r="G15" s="2">
        <v>9770</v>
      </c>
      <c r="H15" s="2">
        <f t="shared" si="1"/>
        <v>980</v>
      </c>
      <c r="I15" s="2">
        <f>SUM(Sales!I40:I43)</f>
        <v>970.42999999999302</v>
      </c>
      <c r="K15" s="2">
        <f>I15-H15</f>
        <v>-9.5700000000069849</v>
      </c>
    </row>
    <row r="16" spans="1:12" ht="14.5" x14ac:dyDescent="0.35">
      <c r="A16" s="5">
        <v>45876</v>
      </c>
      <c r="B16" s="2" t="s">
        <v>38</v>
      </c>
      <c r="C16" s="2" t="s">
        <v>4</v>
      </c>
      <c r="D16" s="2">
        <v>420</v>
      </c>
      <c r="E16" s="2">
        <v>4470</v>
      </c>
      <c r="F16" s="2">
        <f t="shared" si="0"/>
        <v>4890</v>
      </c>
      <c r="G16" s="2">
        <v>4120</v>
      </c>
      <c r="H16" s="2">
        <f t="shared" si="1"/>
        <v>770</v>
      </c>
      <c r="I16" s="2">
        <f>SUM(Sales!I44:I45)</f>
        <v>794.01999999996042</v>
      </c>
      <c r="J16" s="2">
        <f>I16-H16</f>
        <v>24.019999999960419</v>
      </c>
    </row>
    <row r="17" spans="1:11" ht="14.5" x14ac:dyDescent="0.35">
      <c r="A17" s="5">
        <v>45876</v>
      </c>
      <c r="B17" s="2" t="s">
        <v>40</v>
      </c>
      <c r="C17" s="2" t="s">
        <v>8</v>
      </c>
      <c r="D17" s="2">
        <v>9770</v>
      </c>
      <c r="F17" s="2">
        <f t="shared" si="0"/>
        <v>9770</v>
      </c>
      <c r="G17" s="2">
        <v>8180</v>
      </c>
      <c r="H17" s="2">
        <f t="shared" si="1"/>
        <v>1590</v>
      </c>
      <c r="I17" s="2">
        <f>SUM(Sales!I46:I49)</f>
        <v>1604.0099999999511</v>
      </c>
      <c r="K17" s="2">
        <f>I17-H17</f>
        <v>14.009999999951106</v>
      </c>
    </row>
    <row r="18" spans="1:11" ht="14.5" x14ac:dyDescent="0.35">
      <c r="A18" s="5">
        <v>45907</v>
      </c>
      <c r="B18" s="2" t="s">
        <v>38</v>
      </c>
      <c r="C18" s="2" t="s">
        <v>4</v>
      </c>
      <c r="D18" s="2">
        <v>4120</v>
      </c>
      <c r="E18" s="2">
        <v>13410</v>
      </c>
      <c r="F18" s="2">
        <f t="shared" si="0"/>
        <v>17530</v>
      </c>
      <c r="G18" s="2">
        <v>16290</v>
      </c>
      <c r="H18" s="2">
        <f t="shared" si="1"/>
        <v>1240</v>
      </c>
      <c r="I18" s="2">
        <f>SUM(Sales!I50:I51)</f>
        <v>1241.5800000000163</v>
      </c>
      <c r="J18" s="2">
        <f>I18-H18</f>
        <v>1.5800000000162981</v>
      </c>
    </row>
    <row r="19" spans="1:11" ht="14.5" x14ac:dyDescent="0.35">
      <c r="A19" s="5">
        <v>45907</v>
      </c>
      <c r="B19" s="2" t="s">
        <v>40</v>
      </c>
      <c r="C19" s="2" t="s">
        <v>8</v>
      </c>
      <c r="D19" s="2">
        <v>8180</v>
      </c>
      <c r="F19" s="2">
        <f t="shared" si="0"/>
        <v>8180</v>
      </c>
      <c r="G19" s="2">
        <v>7110</v>
      </c>
      <c r="H19" s="2">
        <f t="shared" si="1"/>
        <v>1070</v>
      </c>
      <c r="I19" s="2">
        <f>SUM(Sales!I52:I55)</f>
        <v>1063.4400000000605</v>
      </c>
      <c r="K19" s="2">
        <f>I19-H19</f>
        <v>-6.559999999939464</v>
      </c>
    </row>
    <row r="20" spans="1:11" ht="14.5" x14ac:dyDescent="0.35">
      <c r="A20" s="5">
        <v>45937</v>
      </c>
      <c r="B20" s="2" t="s">
        <v>38</v>
      </c>
      <c r="C20" s="2" t="s">
        <v>4</v>
      </c>
      <c r="D20" s="2">
        <v>16290</v>
      </c>
      <c r="F20" s="2">
        <f t="shared" si="0"/>
        <v>16290</v>
      </c>
      <c r="G20" s="2">
        <v>15300</v>
      </c>
      <c r="H20" s="2">
        <f t="shared" si="1"/>
        <v>990</v>
      </c>
      <c r="I20" s="2">
        <f>SUM(Sales!I56:I57)</f>
        <v>995.7400000001071</v>
      </c>
      <c r="J20" s="2">
        <f>I20-H20</f>
        <v>5.7400000001071021</v>
      </c>
    </row>
    <row r="21" spans="1:11" ht="15.75" customHeight="1" x14ac:dyDescent="0.35">
      <c r="A21" s="5">
        <v>45937</v>
      </c>
      <c r="B21" s="2" t="s">
        <v>40</v>
      </c>
      <c r="C21" s="2" t="s">
        <v>8</v>
      </c>
      <c r="D21" s="2">
        <v>7110</v>
      </c>
      <c r="E21" s="2">
        <v>8940</v>
      </c>
      <c r="F21" s="2">
        <f t="shared" si="0"/>
        <v>16050</v>
      </c>
      <c r="G21" s="2">
        <v>15420</v>
      </c>
      <c r="H21" s="2">
        <f t="shared" si="1"/>
        <v>630</v>
      </c>
      <c r="I21" s="2">
        <f>SUM(Sales!I58:I61)</f>
        <v>634.06999999994878</v>
      </c>
      <c r="K21" s="2">
        <f>I21-H21</f>
        <v>4.0699999999487773</v>
      </c>
    </row>
    <row r="22" spans="1:11" ht="15.75" customHeight="1" x14ac:dyDescent="0.35">
      <c r="A22" s="5">
        <v>45968</v>
      </c>
      <c r="B22" s="2" t="s">
        <v>38</v>
      </c>
      <c r="C22" s="2" t="s">
        <v>4</v>
      </c>
      <c r="D22" s="2">
        <v>15300</v>
      </c>
      <c r="F22" s="2">
        <f t="shared" si="0"/>
        <v>15300</v>
      </c>
      <c r="G22" s="2">
        <v>13810</v>
      </c>
      <c r="H22" s="2">
        <f t="shared" si="1"/>
        <v>1490</v>
      </c>
      <c r="I22" s="2">
        <f>SUM(Sales!I62:I63)</f>
        <v>1463.3799999999464</v>
      </c>
      <c r="J22" s="2">
        <f>I22-H22</f>
        <v>-26.620000000053551</v>
      </c>
    </row>
    <row r="23" spans="1:11" ht="15.75" customHeight="1" x14ac:dyDescent="0.35">
      <c r="A23" s="5">
        <v>45968</v>
      </c>
      <c r="B23" s="2" t="s">
        <v>40</v>
      </c>
      <c r="C23" s="2" t="s">
        <v>8</v>
      </c>
      <c r="D23" s="2">
        <v>15420</v>
      </c>
      <c r="F23" s="2">
        <f t="shared" si="0"/>
        <v>15420</v>
      </c>
      <c r="G23" s="2">
        <v>14920</v>
      </c>
      <c r="H23" s="2">
        <f t="shared" si="1"/>
        <v>500</v>
      </c>
      <c r="I23" s="2">
        <f>SUM(Sales!I64:I67)</f>
        <v>500.67000000004191</v>
      </c>
      <c r="K23" s="2">
        <f>I23-H23</f>
        <v>0.67000000004190952</v>
      </c>
    </row>
    <row r="24" spans="1:11" ht="15.75" customHeight="1" x14ac:dyDescent="0.35">
      <c r="A24" s="5">
        <v>45998</v>
      </c>
      <c r="B24" s="2" t="s">
        <v>38</v>
      </c>
      <c r="C24" s="2" t="s">
        <v>4</v>
      </c>
      <c r="D24" s="2">
        <v>13810</v>
      </c>
      <c r="F24" s="2">
        <f t="shared" si="0"/>
        <v>13810</v>
      </c>
      <c r="G24" s="2">
        <v>12630</v>
      </c>
      <c r="H24" s="2">
        <f t="shared" si="1"/>
        <v>1180</v>
      </c>
      <c r="I24" s="2">
        <f>SUM(Sales!I68:I69)</f>
        <v>1169.9100000000326</v>
      </c>
      <c r="J24" s="2">
        <f>I24-H24</f>
        <v>-10.089999999967404</v>
      </c>
    </row>
    <row r="25" spans="1:11" ht="15.75" customHeight="1" x14ac:dyDescent="0.35">
      <c r="A25" s="5">
        <v>45998</v>
      </c>
      <c r="B25" s="2" t="s">
        <v>40</v>
      </c>
      <c r="C25" s="2" t="s">
        <v>8</v>
      </c>
      <c r="D25" s="2">
        <v>14920</v>
      </c>
      <c r="E25" s="2">
        <v>4500</v>
      </c>
      <c r="F25" s="2">
        <f t="shared" si="0"/>
        <v>19420</v>
      </c>
      <c r="G25" s="2">
        <v>19180</v>
      </c>
      <c r="H25" s="2">
        <f t="shared" si="1"/>
        <v>240</v>
      </c>
      <c r="I25" s="2">
        <f>SUM(Sales!I70:I73)</f>
        <v>279.11999999999534</v>
      </c>
      <c r="K25" s="2">
        <f>I25-H25</f>
        <v>39.119999999995343</v>
      </c>
    </row>
    <row r="26" spans="1:11" ht="15.75" customHeight="1" x14ac:dyDescent="0.35">
      <c r="A26" s="6" t="s">
        <v>42</v>
      </c>
      <c r="B26" s="2" t="s">
        <v>38</v>
      </c>
      <c r="C26" s="2" t="s">
        <v>4</v>
      </c>
      <c r="D26" s="2">
        <v>12630</v>
      </c>
      <c r="F26" s="2">
        <f t="shared" si="0"/>
        <v>12630</v>
      </c>
      <c r="G26" s="2">
        <v>11530</v>
      </c>
      <c r="H26" s="2">
        <f t="shared" si="1"/>
        <v>1100</v>
      </c>
      <c r="I26" s="2">
        <f>SUM(Sales!I74:I75)</f>
        <v>1145.8499999999767</v>
      </c>
      <c r="J26" s="2">
        <f>I26-H26</f>
        <v>45.849999999976717</v>
      </c>
    </row>
    <row r="27" spans="1:11" ht="15.75" customHeight="1" x14ac:dyDescent="0.35">
      <c r="A27" s="6" t="s">
        <v>42</v>
      </c>
      <c r="B27" s="2" t="s">
        <v>40</v>
      </c>
      <c r="C27" s="2" t="s">
        <v>8</v>
      </c>
      <c r="D27" s="2">
        <v>19180</v>
      </c>
      <c r="F27" s="2">
        <f t="shared" si="0"/>
        <v>19180</v>
      </c>
      <c r="G27" s="2">
        <v>18700</v>
      </c>
      <c r="H27" s="2">
        <f t="shared" si="1"/>
        <v>480</v>
      </c>
      <c r="I27" s="2">
        <f>SUM(Sales!I76:I79)</f>
        <v>516.53999999997905</v>
      </c>
      <c r="K27" s="2">
        <f>I27-H27</f>
        <v>36.539999999979045</v>
      </c>
    </row>
    <row r="28" spans="1:11" ht="15.75" customHeight="1" x14ac:dyDescent="0.35">
      <c r="A28" s="6" t="s">
        <v>43</v>
      </c>
      <c r="B28" s="2" t="s">
        <v>38</v>
      </c>
      <c r="C28" s="2" t="s">
        <v>4</v>
      </c>
      <c r="D28" s="2">
        <v>11530</v>
      </c>
      <c r="F28" s="2">
        <f t="shared" si="0"/>
        <v>11530</v>
      </c>
      <c r="G28" s="2">
        <v>10150</v>
      </c>
      <c r="H28" s="2">
        <f t="shared" si="1"/>
        <v>1380</v>
      </c>
      <c r="I28" s="2">
        <f>SUM(Sales!I80:I81)</f>
        <v>1378.0499999999302</v>
      </c>
      <c r="J28" s="2">
        <f>I28-H28</f>
        <v>-1.9500000000698492</v>
      </c>
    </row>
    <row r="29" spans="1:11" ht="15.75" customHeight="1" x14ac:dyDescent="0.35">
      <c r="A29" s="6" t="s">
        <v>43</v>
      </c>
      <c r="B29" s="2" t="s">
        <v>40</v>
      </c>
      <c r="C29" s="2" t="s">
        <v>8</v>
      </c>
      <c r="D29" s="2">
        <v>18700</v>
      </c>
      <c r="F29" s="2">
        <f t="shared" si="0"/>
        <v>18700</v>
      </c>
      <c r="G29" s="2">
        <v>17850</v>
      </c>
      <c r="H29" s="2">
        <f t="shared" si="1"/>
        <v>850</v>
      </c>
      <c r="I29" s="2">
        <f>SUM(Sales!I82:I85)</f>
        <v>785.3300000000163</v>
      </c>
      <c r="K29" s="2">
        <f>I29-H29</f>
        <v>-64.669999999983702</v>
      </c>
    </row>
    <row r="30" spans="1:11" ht="15.75" customHeight="1" x14ac:dyDescent="0.35">
      <c r="A30" s="6" t="s">
        <v>44</v>
      </c>
      <c r="B30" s="2" t="s">
        <v>38</v>
      </c>
      <c r="C30" s="2" t="s">
        <v>4</v>
      </c>
      <c r="D30" s="2">
        <v>10150</v>
      </c>
      <c r="F30" s="2">
        <f t="shared" si="0"/>
        <v>10150</v>
      </c>
      <c r="G30" s="2">
        <v>7950</v>
      </c>
      <c r="H30" s="2">
        <f t="shared" si="1"/>
        <v>2200</v>
      </c>
      <c r="I30" s="2">
        <f>SUM(Sales!I86:I87)</f>
        <v>2218.3800000000047</v>
      </c>
      <c r="J30" s="2">
        <f>I30-H30</f>
        <v>18.380000000004657</v>
      </c>
    </row>
    <row r="31" spans="1:11" ht="15.75" customHeight="1" x14ac:dyDescent="0.35">
      <c r="A31" s="6" t="s">
        <v>44</v>
      </c>
      <c r="B31" s="2" t="s">
        <v>40</v>
      </c>
      <c r="C31" s="2" t="s">
        <v>8</v>
      </c>
      <c r="D31" s="2">
        <v>17850</v>
      </c>
      <c r="F31" s="2">
        <f t="shared" si="0"/>
        <v>17850</v>
      </c>
      <c r="G31" s="2">
        <v>15800</v>
      </c>
      <c r="H31" s="2">
        <f t="shared" si="1"/>
        <v>2050</v>
      </c>
      <c r="I31" s="2">
        <f>SUM(Sales!I88:I91)</f>
        <v>2025.7000000000116</v>
      </c>
      <c r="K31" s="2">
        <f>I31-H31</f>
        <v>-24.299999999988358</v>
      </c>
    </row>
    <row r="32" spans="1:11" ht="15.75" customHeight="1" x14ac:dyDescent="0.35">
      <c r="A32" s="6" t="s">
        <v>45</v>
      </c>
      <c r="B32" s="2" t="s">
        <v>38</v>
      </c>
      <c r="C32" s="2" t="s">
        <v>4</v>
      </c>
      <c r="D32" s="2">
        <v>7950</v>
      </c>
      <c r="F32" s="2">
        <f t="shared" si="0"/>
        <v>7950</v>
      </c>
      <c r="G32" s="2">
        <v>7240</v>
      </c>
      <c r="H32" s="2">
        <f t="shared" si="1"/>
        <v>710</v>
      </c>
      <c r="I32" s="2">
        <f>SUM(Sales!I92:I93)</f>
        <v>698.21000000002095</v>
      </c>
      <c r="J32" s="2">
        <f>I32-H32</f>
        <v>-11.789999999979045</v>
      </c>
    </row>
    <row r="33" spans="1:11" ht="15.75" customHeight="1" x14ac:dyDescent="0.35">
      <c r="A33" s="6" t="s">
        <v>45</v>
      </c>
      <c r="B33" s="2" t="s">
        <v>40</v>
      </c>
      <c r="C33" s="2" t="s">
        <v>8</v>
      </c>
      <c r="D33" s="2">
        <v>15800</v>
      </c>
      <c r="F33" s="2">
        <f t="shared" si="0"/>
        <v>15800</v>
      </c>
      <c r="G33" s="2">
        <v>15420</v>
      </c>
      <c r="H33" s="2">
        <f t="shared" si="1"/>
        <v>380</v>
      </c>
      <c r="I33" s="2">
        <f>SUM(Sales!I94:I97)</f>
        <v>374.30999999993946</v>
      </c>
      <c r="K33" s="2">
        <f>I33-H33</f>
        <v>-5.690000000060536</v>
      </c>
    </row>
    <row r="34" spans="1:11" ht="15.75" customHeight="1" x14ac:dyDescent="0.35">
      <c r="A34" s="6" t="s">
        <v>46</v>
      </c>
      <c r="B34" s="2" t="s">
        <v>38</v>
      </c>
      <c r="C34" s="2" t="s">
        <v>4</v>
      </c>
      <c r="D34" s="2">
        <v>7240</v>
      </c>
      <c r="E34" s="2">
        <v>4500</v>
      </c>
      <c r="F34" s="2">
        <f t="shared" si="0"/>
        <v>11740</v>
      </c>
      <c r="G34" s="2">
        <v>10400</v>
      </c>
      <c r="H34" s="2">
        <f t="shared" si="1"/>
        <v>1340</v>
      </c>
      <c r="I34" s="2">
        <f>SUM(Sales!I98:I99)</f>
        <v>1344.6300000000629</v>
      </c>
      <c r="J34" s="2">
        <f>I34-H34</f>
        <v>4.6300000000628643</v>
      </c>
    </row>
    <row r="35" spans="1:11" ht="15.75" customHeight="1" x14ac:dyDescent="0.35">
      <c r="A35" s="6" t="s">
        <v>46</v>
      </c>
      <c r="B35" s="2" t="s">
        <v>40</v>
      </c>
      <c r="C35" s="2" t="s">
        <v>8</v>
      </c>
      <c r="D35" s="2">
        <v>15420</v>
      </c>
      <c r="F35" s="2">
        <f t="shared" si="0"/>
        <v>15420</v>
      </c>
      <c r="G35" s="2">
        <v>14900</v>
      </c>
      <c r="H35" s="2">
        <f t="shared" si="1"/>
        <v>520</v>
      </c>
      <c r="I35" s="2">
        <f>SUM(Sales!I100:I103)</f>
        <v>527.50000000005821</v>
      </c>
      <c r="K35" s="2">
        <f>I35-H35</f>
        <v>7.5000000000582077</v>
      </c>
    </row>
    <row r="36" spans="1:11" ht="15.75" customHeight="1" x14ac:dyDescent="0.35">
      <c r="A36" s="6" t="s">
        <v>47</v>
      </c>
      <c r="B36" s="2" t="s">
        <v>38</v>
      </c>
      <c r="C36" s="2" t="s">
        <v>4</v>
      </c>
      <c r="D36" s="2">
        <v>10400</v>
      </c>
      <c r="F36" s="2">
        <f t="shared" si="0"/>
        <v>10400</v>
      </c>
      <c r="G36" s="2">
        <v>9290</v>
      </c>
      <c r="H36" s="2">
        <f t="shared" si="1"/>
        <v>1110</v>
      </c>
      <c r="I36" s="2">
        <f>SUM(Sales!I104:I105)</f>
        <v>1112.3499999999767</v>
      </c>
      <c r="J36" s="2">
        <f>I36-H36</f>
        <v>2.3499999999767169</v>
      </c>
    </row>
    <row r="37" spans="1:11" ht="15.75" customHeight="1" x14ac:dyDescent="0.35">
      <c r="A37" s="6" t="s">
        <v>47</v>
      </c>
      <c r="B37" s="2" t="s">
        <v>40</v>
      </c>
      <c r="C37" s="2" t="s">
        <v>8</v>
      </c>
      <c r="D37" s="2">
        <v>14900</v>
      </c>
      <c r="F37" s="2">
        <f t="shared" si="0"/>
        <v>14900</v>
      </c>
      <c r="G37" s="2">
        <v>13240</v>
      </c>
      <c r="H37" s="2">
        <f t="shared" si="1"/>
        <v>1660</v>
      </c>
      <c r="I37" s="2">
        <f>SUM(Sales!I106:I109)</f>
        <v>1678.2499999998836</v>
      </c>
      <c r="K37" s="2">
        <f>I37-H37</f>
        <v>18.249999999883585</v>
      </c>
    </row>
    <row r="38" spans="1:11" ht="15.75" customHeight="1" x14ac:dyDescent="0.35">
      <c r="A38" s="6" t="s">
        <v>48</v>
      </c>
      <c r="B38" s="2" t="s">
        <v>38</v>
      </c>
      <c r="C38" s="2" t="s">
        <v>4</v>
      </c>
      <c r="D38" s="2">
        <v>9290</v>
      </c>
      <c r="F38" s="2">
        <f t="shared" si="0"/>
        <v>9290</v>
      </c>
      <c r="G38" s="2">
        <v>8300</v>
      </c>
      <c r="H38" s="2">
        <f t="shared" si="1"/>
        <v>990</v>
      </c>
      <c r="I38" s="2">
        <f>SUM(Sales!I110:I111)</f>
        <v>969.55999999999767</v>
      </c>
      <c r="J38" s="2">
        <f>I38-H38</f>
        <v>-20.440000000002328</v>
      </c>
    </row>
    <row r="39" spans="1:11" ht="15.75" customHeight="1" x14ac:dyDescent="0.35">
      <c r="A39" s="6" t="s">
        <v>48</v>
      </c>
      <c r="B39" s="2" t="s">
        <v>40</v>
      </c>
      <c r="C39" s="2" t="s">
        <v>8</v>
      </c>
      <c r="D39" s="2">
        <v>13240</v>
      </c>
      <c r="F39" s="2">
        <f t="shared" si="0"/>
        <v>13240</v>
      </c>
      <c r="G39" s="2">
        <v>12840</v>
      </c>
      <c r="H39" s="2">
        <f t="shared" si="1"/>
        <v>400</v>
      </c>
      <c r="I39" s="2">
        <f>SUM(Sales!I112:I115)</f>
        <v>401.43000000010943</v>
      </c>
      <c r="K39" s="2">
        <f>I39-H39</f>
        <v>1.4300000001094304</v>
      </c>
    </row>
    <row r="40" spans="1:11" ht="15.75" customHeight="1" x14ac:dyDescent="0.35">
      <c r="A40" s="6" t="s">
        <v>49</v>
      </c>
      <c r="B40" s="2" t="s">
        <v>38</v>
      </c>
      <c r="C40" s="2" t="s">
        <v>4</v>
      </c>
      <c r="D40" s="2">
        <v>8300</v>
      </c>
      <c r="F40" s="2">
        <f t="shared" si="0"/>
        <v>8300</v>
      </c>
      <c r="G40" s="2">
        <v>7080</v>
      </c>
      <c r="H40" s="2">
        <f t="shared" si="1"/>
        <v>1220</v>
      </c>
      <c r="I40" s="2">
        <f>SUM(Sales!I116:I117)</f>
        <v>1267.179999999993</v>
      </c>
      <c r="J40" s="2">
        <f>I40-H40</f>
        <v>47.179999999993015</v>
      </c>
    </row>
    <row r="41" spans="1:11" ht="15.75" customHeight="1" x14ac:dyDescent="0.35">
      <c r="A41" s="6" t="s">
        <v>49</v>
      </c>
      <c r="B41" s="2" t="s">
        <v>40</v>
      </c>
      <c r="C41" s="2" t="s">
        <v>8</v>
      </c>
      <c r="D41" s="2">
        <v>12840</v>
      </c>
      <c r="F41" s="2">
        <f t="shared" si="0"/>
        <v>12840</v>
      </c>
      <c r="G41" s="2">
        <v>8020</v>
      </c>
      <c r="H41" s="2">
        <f t="shared" si="1"/>
        <v>4820</v>
      </c>
      <c r="I41" s="2">
        <f>SUM(Sales!I118:I121)</f>
        <v>4892.8099999999977</v>
      </c>
      <c r="K41" s="2">
        <f>I41-H41</f>
        <v>72.809999999997672</v>
      </c>
    </row>
    <row r="42" spans="1:11" ht="15.75" customHeight="1" x14ac:dyDescent="0.35">
      <c r="A42" s="6" t="s">
        <v>50</v>
      </c>
      <c r="B42" s="2" t="s">
        <v>38</v>
      </c>
      <c r="C42" s="2" t="s">
        <v>4</v>
      </c>
      <c r="D42" s="2">
        <v>7080</v>
      </c>
      <c r="F42" s="2">
        <f t="shared" si="0"/>
        <v>7080</v>
      </c>
      <c r="G42" s="2">
        <v>5610</v>
      </c>
      <c r="H42" s="2">
        <f t="shared" si="1"/>
        <v>1470</v>
      </c>
      <c r="I42" s="2">
        <f>SUM(Sales!I122:I123)</f>
        <v>1458.5</v>
      </c>
      <c r="J42" s="2">
        <f>I42-H42</f>
        <v>-11.5</v>
      </c>
    </row>
    <row r="43" spans="1:11" ht="15.75" customHeight="1" x14ac:dyDescent="0.35">
      <c r="A43" s="6" t="s">
        <v>50</v>
      </c>
      <c r="B43" s="2" t="s">
        <v>40</v>
      </c>
      <c r="C43" s="2" t="s">
        <v>8</v>
      </c>
      <c r="D43" s="2">
        <v>8020</v>
      </c>
      <c r="F43" s="2">
        <f t="shared" si="0"/>
        <v>8020</v>
      </c>
      <c r="G43" s="2">
        <v>7550</v>
      </c>
      <c r="H43" s="2">
        <f t="shared" si="1"/>
        <v>470</v>
      </c>
      <c r="I43" s="2">
        <f>SUM(Sales!I124:I127)</f>
        <v>444.78999999997905</v>
      </c>
      <c r="K43" s="2">
        <f>I43-H43</f>
        <v>-25.210000000020955</v>
      </c>
    </row>
    <row r="44" spans="1:11" ht="15.75" customHeight="1" x14ac:dyDescent="0.35">
      <c r="A44" s="6" t="s">
        <v>51</v>
      </c>
      <c r="B44" s="2" t="s">
        <v>38</v>
      </c>
      <c r="C44" s="2" t="s">
        <v>4</v>
      </c>
      <c r="D44" s="2">
        <v>5610</v>
      </c>
      <c r="F44" s="2">
        <f t="shared" si="0"/>
        <v>5610</v>
      </c>
      <c r="G44" s="2">
        <v>4310</v>
      </c>
      <c r="H44" s="2">
        <f t="shared" si="1"/>
        <v>1300</v>
      </c>
      <c r="I44" s="2">
        <f>SUM(Sales!I128:I129)</f>
        <v>1304.5599999999977</v>
      </c>
      <c r="J44" s="2">
        <f>I44-H44</f>
        <v>4.5599999999976717</v>
      </c>
    </row>
    <row r="45" spans="1:11" ht="15.75" customHeight="1" x14ac:dyDescent="0.35">
      <c r="A45" s="6" t="s">
        <v>51</v>
      </c>
      <c r="B45" s="2" t="s">
        <v>40</v>
      </c>
      <c r="C45" s="2" t="s">
        <v>8</v>
      </c>
      <c r="D45" s="2">
        <v>7550</v>
      </c>
      <c r="F45" s="2">
        <f t="shared" si="0"/>
        <v>7550</v>
      </c>
      <c r="G45" s="2">
        <v>6920</v>
      </c>
      <c r="H45" s="2">
        <f t="shared" si="1"/>
        <v>630</v>
      </c>
      <c r="I45" s="2">
        <f>SUM(Sales!I130:I133)</f>
        <v>628.65000000008149</v>
      </c>
      <c r="K45" s="2">
        <f>I45-H45</f>
        <v>-1.3499999999185093</v>
      </c>
    </row>
    <row r="46" spans="1:11" ht="15.75" customHeight="1" x14ac:dyDescent="0.35">
      <c r="A46" s="6" t="s">
        <v>52</v>
      </c>
      <c r="B46" s="2" t="s">
        <v>38</v>
      </c>
      <c r="C46" s="2" t="s">
        <v>4</v>
      </c>
      <c r="D46" s="2">
        <v>4310</v>
      </c>
      <c r="E46" s="2">
        <v>8950</v>
      </c>
      <c r="F46" s="2">
        <f t="shared" si="0"/>
        <v>13260</v>
      </c>
      <c r="G46" s="2">
        <v>12050</v>
      </c>
      <c r="H46" s="2">
        <f t="shared" si="1"/>
        <v>1210</v>
      </c>
      <c r="I46" s="2">
        <f>SUM(Sales!I134:I135)</f>
        <v>1163.7199999999139</v>
      </c>
      <c r="J46" s="2">
        <f>I46-H46</f>
        <v>-46.280000000086147</v>
      </c>
    </row>
    <row r="47" spans="1:11" ht="15.75" customHeight="1" x14ac:dyDescent="0.35">
      <c r="A47" s="6" t="s">
        <v>52</v>
      </c>
      <c r="B47" s="2" t="s">
        <v>40</v>
      </c>
      <c r="C47" s="2" t="s">
        <v>8</v>
      </c>
      <c r="D47" s="2">
        <v>6920</v>
      </c>
      <c r="F47" s="2">
        <f t="shared" si="0"/>
        <v>6920</v>
      </c>
      <c r="G47" s="2">
        <v>5900</v>
      </c>
      <c r="H47" s="2">
        <f t="shared" si="1"/>
        <v>1020</v>
      </c>
      <c r="I47" s="2">
        <f>SUM(Sales!I136:I139)</f>
        <v>1041.1699999999255</v>
      </c>
      <c r="K47" s="2">
        <f>I47-H47</f>
        <v>21.169999999925494</v>
      </c>
    </row>
    <row r="48" spans="1:11" ht="15.75" customHeight="1" x14ac:dyDescent="0.35">
      <c r="A48" s="6" t="s">
        <v>53</v>
      </c>
      <c r="B48" s="2" t="s">
        <v>38</v>
      </c>
      <c r="C48" s="2" t="s">
        <v>4</v>
      </c>
      <c r="D48" s="2">
        <v>12050</v>
      </c>
      <c r="F48" s="2">
        <f t="shared" si="0"/>
        <v>12050</v>
      </c>
      <c r="G48" s="2">
        <v>10800</v>
      </c>
      <c r="H48" s="2">
        <f t="shared" si="1"/>
        <v>1250</v>
      </c>
      <c r="I48" s="2">
        <f>SUM(Sales!I140:I141)</f>
        <v>1246.0100000000093</v>
      </c>
      <c r="J48" s="2">
        <f>I48-H48</f>
        <v>-3.9899999999906868</v>
      </c>
    </row>
    <row r="49" spans="1:11" ht="15.75" customHeight="1" x14ac:dyDescent="0.35">
      <c r="A49" s="6" t="s">
        <v>53</v>
      </c>
      <c r="B49" s="2" t="s">
        <v>40</v>
      </c>
      <c r="C49" s="2" t="s">
        <v>8</v>
      </c>
      <c r="D49" s="2">
        <v>5900</v>
      </c>
      <c r="E49" s="2">
        <v>13500</v>
      </c>
      <c r="F49" s="2">
        <f t="shared" si="0"/>
        <v>19400</v>
      </c>
      <c r="G49" s="2">
        <v>16900</v>
      </c>
      <c r="H49" s="2">
        <f t="shared" si="1"/>
        <v>2500</v>
      </c>
      <c r="I49" s="2">
        <f>SUM(Sales!I142:I145)</f>
        <v>2417.3999999999651</v>
      </c>
      <c r="K49" s="2">
        <f>I49-H49</f>
        <v>-82.600000000034925</v>
      </c>
    </row>
    <row r="50" spans="1:11" ht="15.75" customHeight="1" x14ac:dyDescent="0.35">
      <c r="A50" s="6" t="s">
        <v>54</v>
      </c>
      <c r="B50" s="2" t="s">
        <v>38</v>
      </c>
      <c r="C50" s="2" t="s">
        <v>4</v>
      </c>
      <c r="D50" s="2">
        <v>10800</v>
      </c>
      <c r="F50" s="2">
        <f t="shared" si="0"/>
        <v>10800</v>
      </c>
      <c r="G50" s="2">
        <v>9950</v>
      </c>
      <c r="H50" s="2">
        <f t="shared" si="1"/>
        <v>850</v>
      </c>
      <c r="I50" s="2">
        <f>SUM(Sales!I146:I147)</f>
        <v>897.39000000007218</v>
      </c>
      <c r="J50" s="2">
        <f>I50-H50</f>
        <v>47.390000000072177</v>
      </c>
    </row>
    <row r="51" spans="1:11" ht="15.75" customHeight="1" x14ac:dyDescent="0.35">
      <c r="A51" s="6" t="s">
        <v>54</v>
      </c>
      <c r="B51" s="2" t="s">
        <v>40</v>
      </c>
      <c r="C51" s="2" t="s">
        <v>8</v>
      </c>
      <c r="D51" s="2">
        <v>16900</v>
      </c>
      <c r="F51" s="2">
        <f t="shared" si="0"/>
        <v>16900</v>
      </c>
      <c r="G51" s="2">
        <v>16330</v>
      </c>
      <c r="H51" s="2">
        <f t="shared" si="1"/>
        <v>570</v>
      </c>
      <c r="I51" s="2">
        <f>SUM(Sales!I148:I151)</f>
        <v>528.26000000000931</v>
      </c>
      <c r="K51" s="2">
        <f>I51-H51</f>
        <v>-41.739999999990687</v>
      </c>
    </row>
    <row r="52" spans="1:11" ht="15.75" customHeight="1" x14ac:dyDescent="0.35">
      <c r="A52" s="6" t="s">
        <v>55</v>
      </c>
      <c r="B52" s="2" t="s">
        <v>38</v>
      </c>
      <c r="C52" s="2" t="s">
        <v>4</v>
      </c>
      <c r="D52" s="2">
        <v>9950</v>
      </c>
      <c r="F52" s="2">
        <f t="shared" si="0"/>
        <v>9950</v>
      </c>
      <c r="G52" s="2">
        <v>8790</v>
      </c>
      <c r="H52" s="2">
        <f t="shared" si="1"/>
        <v>1160</v>
      </c>
      <c r="I52" s="2">
        <f>SUM(Sales!I152:I153)</f>
        <v>1115.2599999999511</v>
      </c>
      <c r="J52" s="2">
        <f>I52-H52</f>
        <v>-44.740000000048894</v>
      </c>
    </row>
    <row r="53" spans="1:11" ht="15.75" customHeight="1" x14ac:dyDescent="0.35">
      <c r="A53" s="6" t="s">
        <v>55</v>
      </c>
      <c r="B53" s="2" t="s">
        <v>40</v>
      </c>
      <c r="C53" s="2" t="s">
        <v>8</v>
      </c>
      <c r="D53" s="2">
        <v>16330</v>
      </c>
      <c r="F53" s="2">
        <f t="shared" si="0"/>
        <v>16330</v>
      </c>
      <c r="G53" s="2">
        <v>13920</v>
      </c>
      <c r="H53" s="2">
        <f t="shared" si="1"/>
        <v>2410</v>
      </c>
      <c r="I53" s="2">
        <f>SUM(Sales!I154:I157)</f>
        <v>2438.4000000001397</v>
      </c>
      <c r="K53" s="2">
        <f>I53-H53</f>
        <v>28.400000000139698</v>
      </c>
    </row>
    <row r="54" spans="1:11" ht="15.75" customHeight="1" x14ac:dyDescent="0.35">
      <c r="A54" s="6" t="s">
        <v>56</v>
      </c>
      <c r="B54" s="2" t="s">
        <v>38</v>
      </c>
      <c r="C54" s="2" t="s">
        <v>4</v>
      </c>
      <c r="D54" s="2">
        <v>8790</v>
      </c>
      <c r="F54" s="2">
        <f t="shared" si="0"/>
        <v>8790</v>
      </c>
      <c r="G54" s="2">
        <v>7400</v>
      </c>
      <c r="H54" s="2">
        <f t="shared" si="1"/>
        <v>1390</v>
      </c>
      <c r="I54" s="2">
        <f>SUM(Sales!I158:I159)</f>
        <v>1401.1900000000023</v>
      </c>
      <c r="J54" s="2">
        <f>I54-H54</f>
        <v>11.190000000002328</v>
      </c>
    </row>
    <row r="55" spans="1:11" ht="15.75" customHeight="1" x14ac:dyDescent="0.35">
      <c r="A55" s="6" t="s">
        <v>56</v>
      </c>
      <c r="B55" s="2" t="s">
        <v>40</v>
      </c>
      <c r="C55" s="2" t="s">
        <v>8</v>
      </c>
      <c r="D55" s="2">
        <v>13920</v>
      </c>
      <c r="F55" s="2">
        <f t="shared" si="0"/>
        <v>13920</v>
      </c>
      <c r="G55" s="2">
        <v>12550</v>
      </c>
      <c r="H55" s="2">
        <f t="shared" si="1"/>
        <v>1370</v>
      </c>
      <c r="I55" s="2">
        <f>SUM(Sales!I160:I163)</f>
        <v>1365.7399999998161</v>
      </c>
      <c r="K55" s="2">
        <f>I55-H55</f>
        <v>-4.2600000001839362</v>
      </c>
    </row>
    <row r="56" spans="1:11" ht="15.75" customHeight="1" x14ac:dyDescent="0.35">
      <c r="A56" s="6" t="s">
        <v>57</v>
      </c>
      <c r="B56" s="2" t="s">
        <v>38</v>
      </c>
      <c r="C56" s="2" t="s">
        <v>4</v>
      </c>
      <c r="D56" s="2">
        <v>7400</v>
      </c>
      <c r="F56" s="2">
        <f t="shared" si="0"/>
        <v>7400</v>
      </c>
      <c r="G56" s="2">
        <v>5930</v>
      </c>
      <c r="H56" s="2">
        <f t="shared" si="1"/>
        <v>1470</v>
      </c>
      <c r="I56" s="2">
        <f>SUM(Sales!I164:I165)</f>
        <v>1471.0499999999884</v>
      </c>
      <c r="J56" s="2">
        <f>I56-H56</f>
        <v>1.0499999999883585</v>
      </c>
    </row>
    <row r="57" spans="1:11" ht="15.75" customHeight="1" x14ac:dyDescent="0.35">
      <c r="A57" s="6" t="s">
        <v>57</v>
      </c>
      <c r="B57" s="2" t="s">
        <v>40</v>
      </c>
      <c r="C57" s="2" t="s">
        <v>8</v>
      </c>
      <c r="D57" s="2">
        <v>12550</v>
      </c>
      <c r="F57" s="2">
        <f t="shared" si="0"/>
        <v>12550</v>
      </c>
      <c r="G57" s="2">
        <v>12000</v>
      </c>
      <c r="H57" s="2">
        <f t="shared" si="1"/>
        <v>550</v>
      </c>
      <c r="I57" s="2">
        <f>SUM(Sales!I166:I169)</f>
        <v>527.17000000010012</v>
      </c>
      <c r="K57" s="2">
        <f>I57-H57</f>
        <v>-22.829999999899883</v>
      </c>
    </row>
    <row r="58" spans="1:11" ht="15.75" customHeight="1" x14ac:dyDescent="0.35">
      <c r="A58" s="6" t="s">
        <v>58</v>
      </c>
      <c r="B58" s="2" t="s">
        <v>38</v>
      </c>
      <c r="C58" s="2" t="s">
        <v>4</v>
      </c>
      <c r="D58" s="2">
        <v>5930</v>
      </c>
      <c r="F58" s="2">
        <f t="shared" si="0"/>
        <v>5930</v>
      </c>
      <c r="G58" s="2">
        <v>4620</v>
      </c>
      <c r="H58" s="2">
        <f t="shared" si="1"/>
        <v>1310</v>
      </c>
      <c r="I58" s="2">
        <f>SUM(Sales!I170:I171)</f>
        <v>1293.2999999999884</v>
      </c>
      <c r="J58" s="2">
        <f>I58-H58</f>
        <v>-16.700000000011642</v>
      </c>
    </row>
    <row r="59" spans="1:11" ht="15.75" customHeight="1" x14ac:dyDescent="0.35">
      <c r="A59" s="6" t="s">
        <v>58</v>
      </c>
      <c r="B59" s="2" t="s">
        <v>40</v>
      </c>
      <c r="C59" s="2" t="s">
        <v>8</v>
      </c>
      <c r="D59" s="2">
        <v>12000</v>
      </c>
      <c r="F59" s="2">
        <f t="shared" si="0"/>
        <v>12000</v>
      </c>
      <c r="G59" s="2">
        <v>11590</v>
      </c>
      <c r="H59" s="2">
        <f t="shared" si="1"/>
        <v>410</v>
      </c>
      <c r="I59" s="2">
        <f>SUM(Sales!I172:I175)</f>
        <v>427.04999999998836</v>
      </c>
      <c r="K59" s="2">
        <f>I59-H59</f>
        <v>17.049999999988358</v>
      </c>
    </row>
    <row r="60" spans="1:11" ht="15.75" customHeight="1" x14ac:dyDescent="0.35">
      <c r="A60" s="6" t="s">
        <v>59</v>
      </c>
      <c r="B60" s="2" t="s">
        <v>38</v>
      </c>
      <c r="C60" s="2" t="s">
        <v>4</v>
      </c>
      <c r="D60" s="2">
        <v>4620</v>
      </c>
      <c r="E60" s="2">
        <v>13430</v>
      </c>
      <c r="F60" s="2">
        <f t="shared" si="0"/>
        <v>18050</v>
      </c>
      <c r="G60" s="2">
        <v>17000</v>
      </c>
      <c r="H60" s="2">
        <f t="shared" si="1"/>
        <v>1050</v>
      </c>
      <c r="I60" s="2">
        <f>SUM(Sales!I176:I177)</f>
        <v>1064.4400000000605</v>
      </c>
      <c r="J60" s="2">
        <f>I60-H60</f>
        <v>14.440000000060536</v>
      </c>
    </row>
    <row r="61" spans="1:11" ht="15.75" customHeight="1" x14ac:dyDescent="0.35">
      <c r="A61" s="6" t="s">
        <v>59</v>
      </c>
      <c r="B61" s="2" t="s">
        <v>40</v>
      </c>
      <c r="C61" s="2" t="s">
        <v>8</v>
      </c>
      <c r="D61" s="2">
        <v>11590</v>
      </c>
      <c r="E61" s="2">
        <v>4500</v>
      </c>
      <c r="F61" s="2">
        <f t="shared" si="0"/>
        <v>16090</v>
      </c>
      <c r="G61" s="2">
        <v>15600</v>
      </c>
      <c r="H61" s="2">
        <f t="shared" si="1"/>
        <v>490</v>
      </c>
      <c r="I61" s="2">
        <f>SUM(Sales!I178:I181)</f>
        <v>443.99000000004889</v>
      </c>
      <c r="K61" s="2">
        <f>I61-H61</f>
        <v>-46.009999999951106</v>
      </c>
    </row>
    <row r="62" spans="1:11" ht="15.75" customHeight="1" x14ac:dyDescent="0.35">
      <c r="A62" s="6" t="s">
        <v>60</v>
      </c>
      <c r="B62" s="2" t="s">
        <v>38</v>
      </c>
      <c r="C62" s="2" t="s">
        <v>4</v>
      </c>
      <c r="D62" s="2">
        <v>17000</v>
      </c>
      <c r="F62" s="2">
        <f t="shared" si="0"/>
        <v>17000</v>
      </c>
      <c r="G62" s="2">
        <v>15800</v>
      </c>
      <c r="H62" s="2">
        <f t="shared" si="1"/>
        <v>1200</v>
      </c>
      <c r="I62" s="2">
        <f>SUM(Sales!I182:I183)</f>
        <v>1185.8800000000047</v>
      </c>
      <c r="J62" s="2">
        <f>I62-H62</f>
        <v>-14.119999999995343</v>
      </c>
    </row>
    <row r="63" spans="1:11" ht="15.75" customHeight="1" x14ac:dyDescent="0.35">
      <c r="A63" s="6" t="s">
        <v>60</v>
      </c>
      <c r="B63" s="2" t="s">
        <v>40</v>
      </c>
      <c r="C63" s="2" t="s">
        <v>8</v>
      </c>
      <c r="D63" s="2">
        <v>15600</v>
      </c>
      <c r="F63" s="2">
        <f t="shared" si="0"/>
        <v>15600</v>
      </c>
      <c r="G63" s="2">
        <v>14000</v>
      </c>
      <c r="H63" s="2">
        <f t="shared" si="1"/>
        <v>1600</v>
      </c>
      <c r="I63" s="2">
        <f>SUM(Sales!I184:I187)</f>
        <v>1641.3499999998603</v>
      </c>
      <c r="K63" s="2">
        <f>I63-H63</f>
        <v>41.349999999860302</v>
      </c>
    </row>
    <row r="64" spans="1:11" ht="15.75" customHeight="1" x14ac:dyDescent="0.35">
      <c r="A64" s="6"/>
    </row>
    <row r="65" spans="1:1" ht="15.75" customHeight="1" x14ac:dyDescent="0.35">
      <c r="A65" s="6"/>
    </row>
    <row r="66" spans="1:1" ht="15.75" customHeight="1" x14ac:dyDescent="0.35">
      <c r="A66" s="6"/>
    </row>
    <row r="67" spans="1:1" ht="15.75" customHeight="1" x14ac:dyDescent="0.35">
      <c r="A67" s="6"/>
    </row>
    <row r="68" spans="1:1" ht="15.75" customHeight="1" x14ac:dyDescent="0.35">
      <c r="A68" s="6"/>
    </row>
    <row r="69" spans="1:1" ht="15.75" customHeight="1" x14ac:dyDescent="0.35">
      <c r="A69" s="6"/>
    </row>
    <row r="70" spans="1:1" ht="15.75" customHeight="1" x14ac:dyDescent="0.35">
      <c r="A70" s="6"/>
    </row>
    <row r="71" spans="1:1" ht="15.75" customHeight="1" x14ac:dyDescent="0.35">
      <c r="A71" s="6"/>
    </row>
    <row r="72" spans="1:1" ht="15.75" customHeight="1" x14ac:dyDescent="0.35">
      <c r="A72" s="6"/>
    </row>
    <row r="73" spans="1:1" ht="15.75" customHeight="1" x14ac:dyDescent="0.35">
      <c r="A73" s="6"/>
    </row>
    <row r="74" spans="1:1" ht="15.75" customHeight="1" x14ac:dyDescent="0.35">
      <c r="A74" s="6"/>
    </row>
    <row r="75" spans="1:1" ht="15.75" customHeight="1" x14ac:dyDescent="0.35">
      <c r="A75" s="6"/>
    </row>
    <row r="76" spans="1:1" ht="15.75" customHeight="1" x14ac:dyDescent="0.35">
      <c r="A76" s="6"/>
    </row>
    <row r="77" spans="1:1" ht="15.75" customHeight="1" x14ac:dyDescent="0.35">
      <c r="A77" s="6"/>
    </row>
    <row r="78" spans="1:1" ht="15.75" customHeight="1" x14ac:dyDescent="0.35">
      <c r="A78" s="6"/>
    </row>
    <row r="79" spans="1:1" ht="15.75" customHeight="1" x14ac:dyDescent="0.35">
      <c r="A79" s="6"/>
    </row>
    <row r="80" spans="1:1" ht="15.75" customHeight="1" x14ac:dyDescent="0.35">
      <c r="A80" s="6"/>
    </row>
    <row r="81" spans="1:1" ht="15.75" customHeight="1" x14ac:dyDescent="0.35">
      <c r="A81" s="6"/>
    </row>
    <row r="82" spans="1:1" ht="15.75" customHeight="1" x14ac:dyDescent="0.35">
      <c r="A82" s="6"/>
    </row>
    <row r="83" spans="1:1" ht="15.75" customHeight="1" x14ac:dyDescent="0.35">
      <c r="A83" s="6"/>
    </row>
    <row r="84" spans="1:1" ht="15.75" customHeight="1" x14ac:dyDescent="0.35">
      <c r="A84" s="6"/>
    </row>
    <row r="85" spans="1:1" ht="15.75" customHeight="1" x14ac:dyDescent="0.35">
      <c r="A85" s="6"/>
    </row>
    <row r="86" spans="1:1" ht="15.75" customHeight="1" x14ac:dyDescent="0.35">
      <c r="A86" s="6"/>
    </row>
    <row r="87" spans="1:1" ht="15.75" customHeight="1" x14ac:dyDescent="0.35">
      <c r="A87" s="6"/>
    </row>
    <row r="88" spans="1:1" ht="15.75" customHeight="1" x14ac:dyDescent="0.35">
      <c r="A88" s="6"/>
    </row>
    <row r="89" spans="1:1" ht="15.75" customHeight="1" x14ac:dyDescent="0.35">
      <c r="A89" s="6"/>
    </row>
    <row r="90" spans="1:1" ht="15.75" customHeight="1" x14ac:dyDescent="0.35">
      <c r="A90" s="6"/>
    </row>
    <row r="91" spans="1:1" ht="15.75" customHeight="1" x14ac:dyDescent="0.35">
      <c r="A91" s="6"/>
    </row>
    <row r="92" spans="1:1" ht="15.75" customHeight="1" x14ac:dyDescent="0.35">
      <c r="A92" s="6"/>
    </row>
    <row r="93" spans="1:1" ht="15.75" customHeight="1" x14ac:dyDescent="0.35">
      <c r="A93" s="6"/>
    </row>
    <row r="94" spans="1:1" ht="15.75" customHeight="1" x14ac:dyDescent="0.35">
      <c r="A94" s="6"/>
    </row>
    <row r="95" spans="1:1" ht="15.75" customHeight="1" x14ac:dyDescent="0.35">
      <c r="A95" s="6"/>
    </row>
    <row r="96" spans="1:1" ht="15.75" customHeight="1" x14ac:dyDescent="0.35">
      <c r="A96" s="6"/>
    </row>
    <row r="97" spans="1:1" ht="15.75" customHeight="1" x14ac:dyDescent="0.35">
      <c r="A97" s="6"/>
    </row>
    <row r="98" spans="1:1" ht="15.75" customHeight="1" x14ac:dyDescent="0.35">
      <c r="A98" s="6"/>
    </row>
    <row r="99" spans="1:1" ht="15.75" customHeight="1" x14ac:dyDescent="0.35">
      <c r="A99" s="6"/>
    </row>
    <row r="100" spans="1:1" ht="15.75" customHeight="1" x14ac:dyDescent="0.35">
      <c r="A100" s="6"/>
    </row>
    <row r="101" spans="1:1" ht="15.75" customHeight="1" x14ac:dyDescent="0.35">
      <c r="A101" s="6"/>
    </row>
    <row r="102" spans="1:1" ht="15.75" customHeight="1" x14ac:dyDescent="0.35">
      <c r="A102" s="6"/>
    </row>
    <row r="103" spans="1:1" ht="15.75" customHeight="1" x14ac:dyDescent="0.35">
      <c r="A103" s="6"/>
    </row>
    <row r="104" spans="1:1" ht="15.75" customHeight="1" x14ac:dyDescent="0.35">
      <c r="A104" s="6"/>
    </row>
    <row r="105" spans="1:1" ht="15.75" customHeight="1" x14ac:dyDescent="0.35">
      <c r="A105" s="6"/>
    </row>
    <row r="106" spans="1:1" ht="15.75" customHeight="1" x14ac:dyDescent="0.35">
      <c r="A106" s="6"/>
    </row>
    <row r="107" spans="1:1" ht="15.75" customHeight="1" x14ac:dyDescent="0.35">
      <c r="A107" s="6"/>
    </row>
    <row r="108" spans="1:1" ht="15.75" customHeight="1" x14ac:dyDescent="0.35">
      <c r="A108" s="6"/>
    </row>
    <row r="109" spans="1:1" ht="15.75" customHeight="1" x14ac:dyDescent="0.35">
      <c r="A109" s="6"/>
    </row>
    <row r="110" spans="1:1" ht="15.75" customHeight="1" x14ac:dyDescent="0.35">
      <c r="A110" s="6"/>
    </row>
    <row r="111" spans="1:1" ht="15.75" customHeight="1" x14ac:dyDescent="0.35">
      <c r="A111" s="6"/>
    </row>
    <row r="112" spans="1:1" ht="15.75" customHeight="1" x14ac:dyDescent="0.35">
      <c r="A112" s="6"/>
    </row>
    <row r="113" spans="1:1" ht="15.75" customHeight="1" x14ac:dyDescent="0.35">
      <c r="A113" s="6"/>
    </row>
    <row r="114" spans="1:1" ht="15.75" customHeight="1" x14ac:dyDescent="0.35">
      <c r="A114" s="6"/>
    </row>
    <row r="115" spans="1:1" ht="15.75" customHeight="1" x14ac:dyDescent="0.35">
      <c r="A115" s="6"/>
    </row>
    <row r="116" spans="1:1" ht="15.75" customHeight="1" x14ac:dyDescent="0.35">
      <c r="A116" s="6"/>
    </row>
    <row r="117" spans="1:1" ht="15.75" customHeight="1" x14ac:dyDescent="0.35">
      <c r="A117" s="6"/>
    </row>
    <row r="118" spans="1:1" ht="15.75" customHeight="1" x14ac:dyDescent="0.35">
      <c r="A118" s="6"/>
    </row>
    <row r="119" spans="1:1" ht="15.75" customHeight="1" x14ac:dyDescent="0.35">
      <c r="A119" s="6"/>
    </row>
    <row r="120" spans="1:1" ht="15.75" customHeight="1" x14ac:dyDescent="0.35">
      <c r="A120" s="6"/>
    </row>
    <row r="121" spans="1:1" ht="15.75" customHeight="1" x14ac:dyDescent="0.35">
      <c r="A121" s="6"/>
    </row>
    <row r="122" spans="1:1" ht="15.75" customHeight="1" x14ac:dyDescent="0.35">
      <c r="A122" s="6"/>
    </row>
    <row r="123" spans="1:1" ht="15.75" customHeight="1" x14ac:dyDescent="0.35">
      <c r="A123" s="6"/>
    </row>
    <row r="124" spans="1:1" ht="15.75" customHeight="1" x14ac:dyDescent="0.35">
      <c r="A124" s="6"/>
    </row>
    <row r="125" spans="1:1" ht="15.75" customHeight="1" x14ac:dyDescent="0.35">
      <c r="A125" s="6"/>
    </row>
    <row r="126" spans="1:1" ht="15.75" customHeight="1" x14ac:dyDescent="0.35">
      <c r="A126" s="6"/>
    </row>
    <row r="127" spans="1:1" ht="15.75" customHeight="1" x14ac:dyDescent="0.35">
      <c r="A127" s="6"/>
    </row>
    <row r="128" spans="1:1" ht="15.75" customHeight="1" x14ac:dyDescent="0.35">
      <c r="A128" s="6"/>
    </row>
    <row r="129" spans="1:1" ht="15.75" customHeight="1" x14ac:dyDescent="0.35">
      <c r="A129" s="6"/>
    </row>
    <row r="130" spans="1:1" ht="15.75" customHeight="1" x14ac:dyDescent="0.35">
      <c r="A130" s="6"/>
    </row>
    <row r="131" spans="1:1" ht="15.75" customHeight="1" x14ac:dyDescent="0.35">
      <c r="A131" s="6"/>
    </row>
    <row r="132" spans="1:1" ht="15.75" customHeight="1" x14ac:dyDescent="0.35">
      <c r="A132" s="6"/>
    </row>
    <row r="133" spans="1:1" ht="15.75" customHeight="1" x14ac:dyDescent="0.35">
      <c r="A133" s="6"/>
    </row>
    <row r="134" spans="1:1" ht="15.75" customHeight="1" x14ac:dyDescent="0.35">
      <c r="A134" s="6"/>
    </row>
    <row r="135" spans="1:1" ht="15.75" customHeight="1" x14ac:dyDescent="0.35">
      <c r="A135" s="6"/>
    </row>
    <row r="136" spans="1:1" ht="15.75" customHeight="1" x14ac:dyDescent="0.35">
      <c r="A136" s="6"/>
    </row>
    <row r="137" spans="1:1" ht="15.75" customHeight="1" x14ac:dyDescent="0.35">
      <c r="A137" s="6"/>
    </row>
    <row r="138" spans="1:1" ht="15.75" customHeight="1" x14ac:dyDescent="0.35">
      <c r="A138" s="6"/>
    </row>
    <row r="139" spans="1:1" ht="15.75" customHeight="1" x14ac:dyDescent="0.35">
      <c r="A139" s="6"/>
    </row>
    <row r="140" spans="1:1" ht="15.75" customHeight="1" x14ac:dyDescent="0.35">
      <c r="A140" s="6"/>
    </row>
    <row r="141" spans="1:1" ht="15.75" customHeight="1" x14ac:dyDescent="0.35">
      <c r="A141" s="6"/>
    </row>
    <row r="142" spans="1:1" ht="15.75" customHeight="1" x14ac:dyDescent="0.35">
      <c r="A142" s="6"/>
    </row>
    <row r="143" spans="1:1" ht="15.75" customHeight="1" x14ac:dyDescent="0.35">
      <c r="A143" s="6"/>
    </row>
    <row r="144" spans="1:1" ht="15.75" customHeight="1" x14ac:dyDescent="0.35">
      <c r="A144" s="6"/>
    </row>
    <row r="145" spans="1:1" ht="15.75" customHeight="1" x14ac:dyDescent="0.35">
      <c r="A145" s="6"/>
    </row>
    <row r="146" spans="1:1" ht="15.75" customHeight="1" x14ac:dyDescent="0.35">
      <c r="A146" s="6"/>
    </row>
    <row r="147" spans="1:1" ht="15.75" customHeight="1" x14ac:dyDescent="0.35">
      <c r="A147" s="6"/>
    </row>
    <row r="148" spans="1:1" ht="15.75" customHeight="1" x14ac:dyDescent="0.35">
      <c r="A148" s="6"/>
    </row>
    <row r="149" spans="1:1" ht="15.75" customHeight="1" x14ac:dyDescent="0.35">
      <c r="A149" s="6"/>
    </row>
    <row r="150" spans="1:1" ht="15.75" customHeight="1" x14ac:dyDescent="0.35">
      <c r="A150" s="6"/>
    </row>
    <row r="151" spans="1:1" ht="15.75" customHeight="1" x14ac:dyDescent="0.35">
      <c r="A151" s="6"/>
    </row>
    <row r="152" spans="1:1" ht="15.75" customHeight="1" x14ac:dyDescent="0.35">
      <c r="A152" s="6"/>
    </row>
    <row r="153" spans="1:1" ht="15.75" customHeight="1" x14ac:dyDescent="0.35">
      <c r="A153" s="6"/>
    </row>
    <row r="154" spans="1:1" ht="15.75" customHeight="1" x14ac:dyDescent="0.35">
      <c r="A154" s="6"/>
    </row>
    <row r="155" spans="1:1" ht="15.75" customHeight="1" x14ac:dyDescent="0.35">
      <c r="A155" s="6"/>
    </row>
    <row r="156" spans="1:1" ht="15.75" customHeight="1" x14ac:dyDescent="0.35">
      <c r="A156" s="6"/>
    </row>
    <row r="157" spans="1:1" ht="15.75" customHeight="1" x14ac:dyDescent="0.35">
      <c r="A157" s="6"/>
    </row>
    <row r="158" spans="1:1" ht="15.75" customHeight="1" x14ac:dyDescent="0.35">
      <c r="A158" s="6"/>
    </row>
    <row r="159" spans="1:1" ht="15.75" customHeight="1" x14ac:dyDescent="0.35">
      <c r="A159" s="6"/>
    </row>
    <row r="160" spans="1:1" ht="15.75" customHeight="1" x14ac:dyDescent="0.35">
      <c r="A160" s="6"/>
    </row>
    <row r="161" spans="1:1" ht="15.75" customHeight="1" x14ac:dyDescent="0.35">
      <c r="A161" s="6"/>
    </row>
    <row r="162" spans="1:1" ht="15.75" customHeight="1" x14ac:dyDescent="0.35">
      <c r="A162" s="6"/>
    </row>
    <row r="163" spans="1:1" ht="15.75" customHeight="1" x14ac:dyDescent="0.35">
      <c r="A163" s="6"/>
    </row>
    <row r="164" spans="1:1" ht="15.75" customHeight="1" x14ac:dyDescent="0.35">
      <c r="A164" s="6"/>
    </row>
    <row r="165" spans="1:1" ht="15.75" customHeight="1" x14ac:dyDescent="0.35">
      <c r="A165" s="6"/>
    </row>
    <row r="166" spans="1:1" ht="15.75" customHeight="1" x14ac:dyDescent="0.35">
      <c r="A166" s="6"/>
    </row>
    <row r="167" spans="1:1" ht="15.75" customHeight="1" x14ac:dyDescent="0.35">
      <c r="A167" s="6"/>
    </row>
    <row r="168" spans="1:1" ht="15.75" customHeight="1" x14ac:dyDescent="0.35">
      <c r="A168" s="6"/>
    </row>
    <row r="169" spans="1:1" ht="15.75" customHeight="1" x14ac:dyDescent="0.35">
      <c r="A169" s="6"/>
    </row>
    <row r="170" spans="1:1" ht="15.75" customHeight="1" x14ac:dyDescent="0.35">
      <c r="A170" s="6"/>
    </row>
    <row r="171" spans="1:1" ht="15.75" customHeight="1" x14ac:dyDescent="0.35">
      <c r="A171" s="6"/>
    </row>
    <row r="172" spans="1:1" ht="15.75" customHeight="1" x14ac:dyDescent="0.35">
      <c r="A172" s="6"/>
    </row>
    <row r="173" spans="1:1" ht="15.75" customHeight="1" x14ac:dyDescent="0.35">
      <c r="A173" s="6"/>
    </row>
    <row r="174" spans="1:1" ht="15.75" customHeight="1" x14ac:dyDescent="0.35">
      <c r="A174" s="6"/>
    </row>
    <row r="175" spans="1:1" ht="15.75" customHeight="1" x14ac:dyDescent="0.35">
      <c r="A175" s="6"/>
    </row>
    <row r="176" spans="1:1" ht="15.75" customHeight="1" x14ac:dyDescent="0.35">
      <c r="A176" s="6"/>
    </row>
    <row r="177" spans="1:1" ht="15.75" customHeight="1" x14ac:dyDescent="0.35">
      <c r="A177" s="6"/>
    </row>
    <row r="178" spans="1:1" ht="15.75" customHeight="1" x14ac:dyDescent="0.35">
      <c r="A178" s="6"/>
    </row>
    <row r="179" spans="1:1" ht="15.75" customHeight="1" x14ac:dyDescent="0.35">
      <c r="A179" s="6"/>
    </row>
    <row r="180" spans="1:1" ht="15.75" customHeight="1" x14ac:dyDescent="0.35">
      <c r="A180" s="6"/>
    </row>
    <row r="181" spans="1:1" ht="15.75" customHeight="1" x14ac:dyDescent="0.35">
      <c r="A181" s="6"/>
    </row>
    <row r="182" spans="1:1" ht="15.75" customHeight="1" x14ac:dyDescent="0.35">
      <c r="A182" s="6"/>
    </row>
    <row r="183" spans="1:1" ht="15.75" customHeight="1" x14ac:dyDescent="0.35">
      <c r="A183" s="6"/>
    </row>
    <row r="184" spans="1:1" ht="15.75" customHeight="1" x14ac:dyDescent="0.35">
      <c r="A184" s="6"/>
    </row>
    <row r="185" spans="1:1" ht="15.75" customHeight="1" x14ac:dyDescent="0.35">
      <c r="A185" s="6"/>
    </row>
    <row r="186" spans="1:1" ht="15.75" customHeight="1" x14ac:dyDescent="0.35">
      <c r="A186" s="6"/>
    </row>
    <row r="187" spans="1:1" ht="15.75" customHeight="1" x14ac:dyDescent="0.35">
      <c r="A187" s="6"/>
    </row>
    <row r="188" spans="1:1" ht="15.75" customHeight="1" x14ac:dyDescent="0.35">
      <c r="A188" s="6"/>
    </row>
    <row r="189" spans="1:1" ht="15.75" customHeight="1" x14ac:dyDescent="0.35">
      <c r="A189" s="6"/>
    </row>
    <row r="190" spans="1:1" ht="15.75" customHeight="1" x14ac:dyDescent="0.35">
      <c r="A190" s="6"/>
    </row>
    <row r="191" spans="1:1" ht="15.75" customHeight="1" x14ac:dyDescent="0.35">
      <c r="A191" s="6"/>
    </row>
    <row r="192" spans="1:1" ht="15.75" customHeight="1" x14ac:dyDescent="0.35">
      <c r="A192" s="6"/>
    </row>
    <row r="193" spans="1:1" ht="15.75" customHeight="1" x14ac:dyDescent="0.35">
      <c r="A193" s="6"/>
    </row>
    <row r="194" spans="1:1" ht="15.75" customHeight="1" x14ac:dyDescent="0.35">
      <c r="A194" s="6"/>
    </row>
    <row r="195" spans="1:1" ht="15.75" customHeight="1" x14ac:dyDescent="0.35">
      <c r="A195" s="6"/>
    </row>
    <row r="196" spans="1:1" ht="15.75" customHeight="1" x14ac:dyDescent="0.35">
      <c r="A196" s="6"/>
    </row>
    <row r="197" spans="1:1" ht="15.75" customHeight="1" x14ac:dyDescent="0.35">
      <c r="A197" s="6"/>
    </row>
    <row r="198" spans="1:1" ht="15.75" customHeight="1" x14ac:dyDescent="0.35">
      <c r="A198" s="6"/>
    </row>
    <row r="199" spans="1:1" ht="15.75" customHeight="1" x14ac:dyDescent="0.35">
      <c r="A199" s="6"/>
    </row>
    <row r="200" spans="1:1" ht="15.75" customHeight="1" x14ac:dyDescent="0.35">
      <c r="A200" s="6"/>
    </row>
    <row r="201" spans="1:1" ht="15.75" customHeight="1" x14ac:dyDescent="0.35">
      <c r="A201" s="6"/>
    </row>
    <row r="202" spans="1:1" ht="15.75" customHeight="1" x14ac:dyDescent="0.35">
      <c r="A202" s="6"/>
    </row>
    <row r="203" spans="1:1" ht="15.75" customHeight="1" x14ac:dyDescent="0.35">
      <c r="A203" s="6"/>
    </row>
    <row r="204" spans="1:1" ht="15.75" customHeight="1" x14ac:dyDescent="0.35">
      <c r="A204" s="6"/>
    </row>
    <row r="205" spans="1:1" ht="15.75" customHeight="1" x14ac:dyDescent="0.35">
      <c r="A205" s="6"/>
    </row>
    <row r="206" spans="1:1" ht="15.75" customHeight="1" x14ac:dyDescent="0.35">
      <c r="A206" s="6"/>
    </row>
    <row r="207" spans="1:1" ht="15.75" customHeight="1" x14ac:dyDescent="0.35">
      <c r="A207" s="6"/>
    </row>
    <row r="208" spans="1:1" ht="15.75" customHeight="1" x14ac:dyDescent="0.35">
      <c r="A208" s="6"/>
    </row>
    <row r="209" spans="1:1" ht="15.75" customHeight="1" x14ac:dyDescent="0.35">
      <c r="A209" s="6"/>
    </row>
    <row r="210" spans="1:1" ht="15.75" customHeight="1" x14ac:dyDescent="0.35">
      <c r="A210" s="6"/>
    </row>
    <row r="211" spans="1:1" ht="15.75" customHeight="1" x14ac:dyDescent="0.35">
      <c r="A211" s="6"/>
    </row>
    <row r="212" spans="1:1" ht="15.75" customHeight="1" x14ac:dyDescent="0.35">
      <c r="A212" s="6"/>
    </row>
    <row r="213" spans="1:1" ht="15.75" customHeight="1" x14ac:dyDescent="0.35">
      <c r="A213" s="6"/>
    </row>
    <row r="214" spans="1:1" ht="15.75" customHeight="1" x14ac:dyDescent="0.35">
      <c r="A214" s="6"/>
    </row>
    <row r="215" spans="1:1" ht="15.75" customHeight="1" x14ac:dyDescent="0.35">
      <c r="A215" s="6"/>
    </row>
    <row r="216" spans="1:1" ht="15.75" customHeight="1" x14ac:dyDescent="0.35">
      <c r="A216" s="6"/>
    </row>
    <row r="217" spans="1:1" ht="15.75" customHeight="1" x14ac:dyDescent="0.35">
      <c r="A217" s="6"/>
    </row>
    <row r="218" spans="1:1" ht="15.75" customHeight="1" x14ac:dyDescent="0.35">
      <c r="A218" s="6"/>
    </row>
    <row r="219" spans="1:1" ht="15.75" customHeight="1" x14ac:dyDescent="0.35">
      <c r="A219" s="6"/>
    </row>
    <row r="220" spans="1:1" ht="15.75" customHeight="1" x14ac:dyDescent="0.35">
      <c r="A220" s="6"/>
    </row>
    <row r="221" spans="1:1" ht="15.75" customHeight="1" x14ac:dyDescent="0.35">
      <c r="A221" s="6"/>
    </row>
    <row r="222" spans="1:1" ht="15.75" customHeight="1" x14ac:dyDescent="0.35">
      <c r="A222" s="6"/>
    </row>
    <row r="223" spans="1:1" ht="15.75" customHeight="1" x14ac:dyDescent="0.35">
      <c r="A223" s="6"/>
    </row>
    <row r="224" spans="1:1" ht="15.75" customHeight="1" x14ac:dyDescent="0.35">
      <c r="A224" s="6"/>
    </row>
    <row r="225" spans="1:1" ht="15.75" customHeight="1" x14ac:dyDescent="0.35">
      <c r="A225" s="6"/>
    </row>
    <row r="226" spans="1:1" ht="15.75" customHeight="1" x14ac:dyDescent="0.35">
      <c r="A226" s="6"/>
    </row>
    <row r="227" spans="1:1" ht="15.75" customHeight="1" x14ac:dyDescent="0.35">
      <c r="A227" s="6"/>
    </row>
    <row r="228" spans="1:1" ht="15.75" customHeight="1" x14ac:dyDescent="0.35">
      <c r="A228" s="6"/>
    </row>
    <row r="229" spans="1:1" ht="15.75" customHeight="1" x14ac:dyDescent="0.35">
      <c r="A229" s="6"/>
    </row>
    <row r="230" spans="1:1" ht="15.75" customHeight="1" x14ac:dyDescent="0.35">
      <c r="A230" s="6"/>
    </row>
    <row r="231" spans="1:1" ht="15.75" customHeight="1" x14ac:dyDescent="0.35">
      <c r="A231" s="6"/>
    </row>
    <row r="232" spans="1:1" ht="15.75" customHeight="1" x14ac:dyDescent="0.35">
      <c r="A232" s="6"/>
    </row>
    <row r="233" spans="1:1" ht="15.75" customHeight="1" x14ac:dyDescent="0.35">
      <c r="A233" s="6"/>
    </row>
    <row r="234" spans="1:1" ht="15.75" customHeight="1" x14ac:dyDescent="0.35">
      <c r="A234" s="6"/>
    </row>
    <row r="235" spans="1:1" ht="15.75" customHeight="1" x14ac:dyDescent="0.35">
      <c r="A235" s="6"/>
    </row>
    <row r="236" spans="1:1" ht="15.75" customHeight="1" x14ac:dyDescent="0.35">
      <c r="A236" s="6"/>
    </row>
    <row r="237" spans="1:1" ht="15.75" customHeight="1" x14ac:dyDescent="0.35">
      <c r="A237" s="6"/>
    </row>
    <row r="238" spans="1:1" ht="15.75" customHeight="1" x14ac:dyDescent="0.35">
      <c r="A238" s="6"/>
    </row>
    <row r="239" spans="1:1" ht="15.75" customHeight="1" x14ac:dyDescent="0.35">
      <c r="A239" s="6"/>
    </row>
    <row r="240" spans="1:1" ht="15.75" customHeight="1" x14ac:dyDescent="0.35">
      <c r="A240" s="6"/>
    </row>
    <row r="241" spans="1:1" ht="15.75" customHeight="1" x14ac:dyDescent="0.35">
      <c r="A241" s="6"/>
    </row>
    <row r="242" spans="1:1" ht="15.75" customHeight="1" x14ac:dyDescent="0.35">
      <c r="A242" s="6"/>
    </row>
    <row r="243" spans="1:1" ht="15.75" customHeight="1" x14ac:dyDescent="0.35">
      <c r="A243" s="6"/>
    </row>
    <row r="244" spans="1:1" ht="15.75" customHeight="1" x14ac:dyDescent="0.35">
      <c r="A244" s="6"/>
    </row>
    <row r="245" spans="1:1" ht="15.75" customHeight="1" x14ac:dyDescent="0.35">
      <c r="A245" s="6"/>
    </row>
    <row r="246" spans="1:1" ht="15.75" customHeight="1" x14ac:dyDescent="0.35">
      <c r="A246" s="6"/>
    </row>
    <row r="247" spans="1:1" ht="15.75" customHeight="1" x14ac:dyDescent="0.35">
      <c r="A247" s="6"/>
    </row>
    <row r="248" spans="1:1" ht="15.75" customHeight="1" x14ac:dyDescent="0.35">
      <c r="A248" s="6"/>
    </row>
    <row r="249" spans="1:1" ht="15.75" customHeight="1" x14ac:dyDescent="0.35">
      <c r="A249" s="6"/>
    </row>
    <row r="250" spans="1:1" ht="15.75" customHeight="1" x14ac:dyDescent="0.35">
      <c r="A250" s="6"/>
    </row>
    <row r="251" spans="1:1" ht="15.75" customHeight="1" x14ac:dyDescent="0.35">
      <c r="A251" s="6"/>
    </row>
    <row r="252" spans="1:1" ht="15.75" customHeight="1" x14ac:dyDescent="0.35">
      <c r="A252" s="6"/>
    </row>
    <row r="253" spans="1:1" ht="15.75" customHeight="1" x14ac:dyDescent="0.35">
      <c r="A253" s="6"/>
    </row>
    <row r="254" spans="1:1" ht="15.75" customHeight="1" x14ac:dyDescent="0.35">
      <c r="A254" s="6"/>
    </row>
    <row r="255" spans="1:1" ht="15.75" customHeight="1" x14ac:dyDescent="0.35">
      <c r="A255" s="6"/>
    </row>
    <row r="256" spans="1:1" ht="15.75" customHeight="1" x14ac:dyDescent="0.35">
      <c r="A256" s="6"/>
    </row>
    <row r="257" spans="1:1" ht="15.75" customHeight="1" x14ac:dyDescent="0.35">
      <c r="A257" s="6"/>
    </row>
    <row r="258" spans="1:1" ht="15.75" customHeight="1" x14ac:dyDescent="0.35">
      <c r="A258" s="6"/>
    </row>
    <row r="259" spans="1:1" ht="15.75" customHeight="1" x14ac:dyDescent="0.35">
      <c r="A259" s="6"/>
    </row>
    <row r="260" spans="1:1" ht="15.75" customHeight="1" x14ac:dyDescent="0.35">
      <c r="A260" s="6"/>
    </row>
    <row r="261" spans="1:1" ht="15.75" customHeight="1" x14ac:dyDescent="0.35">
      <c r="A261" s="6"/>
    </row>
    <row r="262" spans="1:1" ht="15.75" customHeight="1" x14ac:dyDescent="0.35">
      <c r="A262" s="6"/>
    </row>
    <row r="263" spans="1:1" ht="15.75" customHeight="1" x14ac:dyDescent="0.35">
      <c r="A263" s="6"/>
    </row>
    <row r="264" spans="1:1" ht="15.75" customHeight="1" x14ac:dyDescent="0.35">
      <c r="A264" s="6"/>
    </row>
    <row r="265" spans="1:1" ht="15.75" customHeight="1" x14ac:dyDescent="0.35">
      <c r="A265" s="6"/>
    </row>
    <row r="266" spans="1:1" ht="15.75" customHeight="1" x14ac:dyDescent="0.35">
      <c r="A266" s="6"/>
    </row>
    <row r="267" spans="1:1" ht="15.75" customHeight="1" x14ac:dyDescent="0.35">
      <c r="A267" s="6"/>
    </row>
    <row r="268" spans="1:1" ht="15.75" customHeight="1" x14ac:dyDescent="0.35">
      <c r="A268" s="6"/>
    </row>
    <row r="269" spans="1:1" ht="15.75" customHeight="1" x14ac:dyDescent="0.35">
      <c r="A269" s="6"/>
    </row>
    <row r="270" spans="1:1" ht="15.75" customHeight="1" x14ac:dyDescent="0.35">
      <c r="A270" s="6"/>
    </row>
    <row r="271" spans="1:1" ht="15.75" customHeight="1" x14ac:dyDescent="0.35">
      <c r="A271" s="6"/>
    </row>
    <row r="272" spans="1:1" ht="15.75" customHeight="1" x14ac:dyDescent="0.35">
      <c r="A272" s="6"/>
    </row>
    <row r="273" spans="1:1" ht="15.75" customHeight="1" x14ac:dyDescent="0.35">
      <c r="A273" s="6"/>
    </row>
    <row r="274" spans="1:1" ht="15.75" customHeight="1" x14ac:dyDescent="0.35">
      <c r="A274" s="6"/>
    </row>
    <row r="275" spans="1:1" ht="15.75" customHeight="1" x14ac:dyDescent="0.35">
      <c r="A275" s="6"/>
    </row>
    <row r="276" spans="1:1" ht="15.75" customHeight="1" x14ac:dyDescent="0.35">
      <c r="A276" s="6"/>
    </row>
    <row r="277" spans="1:1" ht="15.75" customHeight="1" x14ac:dyDescent="0.35">
      <c r="A277" s="6"/>
    </row>
    <row r="278" spans="1:1" ht="15.75" customHeight="1" x14ac:dyDescent="0.35">
      <c r="A278" s="6"/>
    </row>
    <row r="279" spans="1:1" ht="15.75" customHeight="1" x14ac:dyDescent="0.35">
      <c r="A279" s="6"/>
    </row>
    <row r="280" spans="1:1" ht="15.75" customHeight="1" x14ac:dyDescent="0.35">
      <c r="A280" s="6"/>
    </row>
    <row r="281" spans="1:1" ht="15.75" customHeight="1" x14ac:dyDescent="0.35">
      <c r="A281" s="6"/>
    </row>
    <row r="282" spans="1:1" ht="15.75" customHeight="1" x14ac:dyDescent="0.35">
      <c r="A282" s="6"/>
    </row>
    <row r="283" spans="1:1" ht="15.75" customHeight="1" x14ac:dyDescent="0.35">
      <c r="A283" s="6"/>
    </row>
    <row r="284" spans="1:1" ht="15.75" customHeight="1" x14ac:dyDescent="0.35">
      <c r="A284" s="6"/>
    </row>
    <row r="285" spans="1:1" ht="15.75" customHeight="1" x14ac:dyDescent="0.35">
      <c r="A285" s="6"/>
    </row>
    <row r="286" spans="1:1" ht="15.75" customHeight="1" x14ac:dyDescent="0.35">
      <c r="A286" s="6"/>
    </row>
    <row r="287" spans="1:1" ht="15.75" customHeight="1" x14ac:dyDescent="0.35">
      <c r="A287" s="6"/>
    </row>
    <row r="288" spans="1:1" ht="15.75" customHeight="1" x14ac:dyDescent="0.35">
      <c r="A288" s="6"/>
    </row>
    <row r="289" spans="1:1" ht="15.75" customHeight="1" x14ac:dyDescent="0.35">
      <c r="A289" s="6"/>
    </row>
    <row r="290" spans="1:1" ht="15.75" customHeight="1" x14ac:dyDescent="0.35">
      <c r="A290" s="6"/>
    </row>
    <row r="291" spans="1:1" ht="15.75" customHeight="1" x14ac:dyDescent="0.35">
      <c r="A291" s="6"/>
    </row>
    <row r="292" spans="1:1" ht="15.75" customHeight="1" x14ac:dyDescent="0.35">
      <c r="A292" s="6"/>
    </row>
    <row r="293" spans="1:1" ht="15.75" customHeight="1" x14ac:dyDescent="0.35">
      <c r="A293" s="6"/>
    </row>
    <row r="294" spans="1:1" ht="15.75" customHeight="1" x14ac:dyDescent="0.35">
      <c r="A294" s="6"/>
    </row>
    <row r="295" spans="1:1" ht="15.75" customHeight="1" x14ac:dyDescent="0.35">
      <c r="A295" s="6"/>
    </row>
    <row r="296" spans="1:1" ht="15.75" customHeight="1" x14ac:dyDescent="0.35">
      <c r="A296" s="6"/>
    </row>
    <row r="297" spans="1:1" ht="15.75" customHeight="1" x14ac:dyDescent="0.35">
      <c r="A297" s="6"/>
    </row>
    <row r="298" spans="1:1" ht="15.75" customHeight="1" x14ac:dyDescent="0.35">
      <c r="A298" s="6"/>
    </row>
    <row r="299" spans="1:1" ht="15.75" customHeight="1" x14ac:dyDescent="0.35">
      <c r="A299" s="6"/>
    </row>
    <row r="300" spans="1:1" ht="15.75" customHeight="1" x14ac:dyDescent="0.35">
      <c r="A300" s="6"/>
    </row>
    <row r="301" spans="1:1" ht="15.75" customHeight="1" x14ac:dyDescent="0.35">
      <c r="A301" s="6"/>
    </row>
    <row r="302" spans="1:1" ht="15.75" customHeight="1" x14ac:dyDescent="0.35">
      <c r="A302" s="6"/>
    </row>
    <row r="303" spans="1:1" ht="15.75" customHeight="1" x14ac:dyDescent="0.35">
      <c r="A303" s="6"/>
    </row>
    <row r="304" spans="1:1" ht="15.75" customHeight="1" x14ac:dyDescent="0.35">
      <c r="A304" s="6"/>
    </row>
    <row r="305" spans="1:1" ht="15.75" customHeight="1" x14ac:dyDescent="0.35">
      <c r="A305" s="6"/>
    </row>
    <row r="306" spans="1:1" ht="15.75" customHeight="1" x14ac:dyDescent="0.35">
      <c r="A306" s="6"/>
    </row>
    <row r="307" spans="1:1" ht="15.75" customHeight="1" x14ac:dyDescent="0.35">
      <c r="A307" s="6"/>
    </row>
    <row r="308" spans="1:1" ht="15.75" customHeight="1" x14ac:dyDescent="0.35">
      <c r="A308" s="6"/>
    </row>
    <row r="309" spans="1:1" ht="15.75" customHeight="1" x14ac:dyDescent="0.35">
      <c r="A309" s="6"/>
    </row>
    <row r="310" spans="1:1" ht="15.75" customHeight="1" x14ac:dyDescent="0.35">
      <c r="A310" s="6"/>
    </row>
    <row r="311" spans="1:1" ht="15.75" customHeight="1" x14ac:dyDescent="0.35">
      <c r="A311" s="6"/>
    </row>
    <row r="312" spans="1:1" ht="15.75" customHeight="1" x14ac:dyDescent="0.35">
      <c r="A312" s="6"/>
    </row>
    <row r="313" spans="1:1" ht="15.75" customHeight="1" x14ac:dyDescent="0.35">
      <c r="A313" s="6"/>
    </row>
    <row r="314" spans="1:1" ht="15.75" customHeight="1" x14ac:dyDescent="0.35">
      <c r="A314" s="6"/>
    </row>
    <row r="315" spans="1:1" ht="15.75" customHeight="1" x14ac:dyDescent="0.35">
      <c r="A315" s="6"/>
    </row>
    <row r="316" spans="1:1" ht="15.75" customHeight="1" x14ac:dyDescent="0.35">
      <c r="A316" s="6"/>
    </row>
    <row r="317" spans="1:1" ht="15.75" customHeight="1" x14ac:dyDescent="0.35">
      <c r="A317" s="6"/>
    </row>
    <row r="318" spans="1:1" ht="15.75" customHeight="1" x14ac:dyDescent="0.35">
      <c r="A318" s="6"/>
    </row>
    <row r="319" spans="1:1" ht="15.75" customHeight="1" x14ac:dyDescent="0.35">
      <c r="A319" s="6"/>
    </row>
    <row r="320" spans="1:1" ht="15.75" customHeight="1" x14ac:dyDescent="0.35">
      <c r="A320" s="6"/>
    </row>
    <row r="321" spans="1:1" ht="15.75" customHeight="1" x14ac:dyDescent="0.35">
      <c r="A321" s="6"/>
    </row>
    <row r="322" spans="1:1" ht="15.75" customHeight="1" x14ac:dyDescent="0.35">
      <c r="A322" s="6"/>
    </row>
    <row r="323" spans="1:1" ht="15.75" customHeight="1" x14ac:dyDescent="0.35">
      <c r="A323" s="6"/>
    </row>
    <row r="324" spans="1:1" ht="15.75" customHeight="1" x14ac:dyDescent="0.35">
      <c r="A324" s="6"/>
    </row>
    <row r="325" spans="1:1" ht="15.75" customHeight="1" x14ac:dyDescent="0.35">
      <c r="A325" s="6"/>
    </row>
    <row r="326" spans="1:1" ht="15.75" customHeight="1" x14ac:dyDescent="0.35">
      <c r="A326" s="6"/>
    </row>
    <row r="327" spans="1:1" ht="15.75" customHeight="1" x14ac:dyDescent="0.35">
      <c r="A327" s="6"/>
    </row>
    <row r="328" spans="1:1" ht="15.75" customHeight="1" x14ac:dyDescent="0.35">
      <c r="A328" s="6"/>
    </row>
    <row r="329" spans="1:1" ht="15.75" customHeight="1" x14ac:dyDescent="0.35">
      <c r="A329" s="6"/>
    </row>
    <row r="330" spans="1:1" ht="15.75" customHeight="1" x14ac:dyDescent="0.35">
      <c r="A330" s="6"/>
    </row>
    <row r="331" spans="1:1" ht="15.75" customHeight="1" x14ac:dyDescent="0.35">
      <c r="A331" s="6"/>
    </row>
    <row r="332" spans="1:1" ht="15.75" customHeight="1" x14ac:dyDescent="0.35">
      <c r="A332" s="6"/>
    </row>
    <row r="333" spans="1:1" ht="15.75" customHeight="1" x14ac:dyDescent="0.35">
      <c r="A333" s="6"/>
    </row>
    <row r="334" spans="1:1" ht="15.75" customHeight="1" x14ac:dyDescent="0.35">
      <c r="A334" s="6"/>
    </row>
    <row r="335" spans="1:1" ht="15.75" customHeight="1" x14ac:dyDescent="0.35">
      <c r="A335" s="6"/>
    </row>
    <row r="336" spans="1:1" ht="15.75" customHeight="1" x14ac:dyDescent="0.35">
      <c r="A336" s="6"/>
    </row>
    <row r="337" spans="1:1" ht="15.75" customHeight="1" x14ac:dyDescent="0.35">
      <c r="A337" s="6"/>
    </row>
    <row r="338" spans="1:1" ht="15.75" customHeight="1" x14ac:dyDescent="0.35">
      <c r="A338" s="6"/>
    </row>
    <row r="339" spans="1:1" ht="15.75" customHeight="1" x14ac:dyDescent="0.35">
      <c r="A339" s="6"/>
    </row>
    <row r="340" spans="1:1" ht="15.75" customHeight="1" x14ac:dyDescent="0.35">
      <c r="A340" s="6"/>
    </row>
    <row r="341" spans="1:1" ht="15.75" customHeight="1" x14ac:dyDescent="0.35">
      <c r="A341" s="6"/>
    </row>
    <row r="342" spans="1:1" ht="15.75" customHeight="1" x14ac:dyDescent="0.35">
      <c r="A342" s="6"/>
    </row>
    <row r="343" spans="1:1" ht="15.75" customHeight="1" x14ac:dyDescent="0.35">
      <c r="A343" s="6"/>
    </row>
    <row r="344" spans="1:1" ht="15.75" customHeight="1" x14ac:dyDescent="0.35">
      <c r="A344" s="6"/>
    </row>
    <row r="345" spans="1:1" ht="15.75" customHeight="1" x14ac:dyDescent="0.35">
      <c r="A345" s="6"/>
    </row>
    <row r="346" spans="1:1" ht="15.75" customHeight="1" x14ac:dyDescent="0.35">
      <c r="A346" s="6"/>
    </row>
    <row r="347" spans="1:1" ht="15.75" customHeight="1" x14ac:dyDescent="0.35">
      <c r="A347" s="6"/>
    </row>
    <row r="348" spans="1:1" ht="15.75" customHeight="1" x14ac:dyDescent="0.35">
      <c r="A348" s="6"/>
    </row>
    <row r="349" spans="1:1" ht="15.75" customHeight="1" x14ac:dyDescent="0.35">
      <c r="A349" s="6"/>
    </row>
    <row r="350" spans="1:1" ht="15.75" customHeight="1" x14ac:dyDescent="0.35">
      <c r="A350" s="6"/>
    </row>
    <row r="351" spans="1:1" ht="15.75" customHeight="1" x14ac:dyDescent="0.35">
      <c r="A351" s="6"/>
    </row>
    <row r="352" spans="1:1" ht="15.75" customHeight="1" x14ac:dyDescent="0.35">
      <c r="A352" s="6"/>
    </row>
    <row r="353" spans="1:1" ht="15.75" customHeight="1" x14ac:dyDescent="0.35">
      <c r="A353" s="6"/>
    </row>
    <row r="354" spans="1:1" ht="15.75" customHeight="1" x14ac:dyDescent="0.35">
      <c r="A354" s="6"/>
    </row>
    <row r="355" spans="1:1" ht="15.75" customHeight="1" x14ac:dyDescent="0.35">
      <c r="A355" s="6"/>
    </row>
    <row r="356" spans="1:1" ht="15.75" customHeight="1" x14ac:dyDescent="0.35">
      <c r="A356" s="6"/>
    </row>
    <row r="357" spans="1:1" ht="15.75" customHeight="1" x14ac:dyDescent="0.35">
      <c r="A357" s="6"/>
    </row>
    <row r="358" spans="1:1" ht="15.75" customHeight="1" x14ac:dyDescent="0.35">
      <c r="A358" s="6"/>
    </row>
    <row r="359" spans="1:1" ht="15.75" customHeight="1" x14ac:dyDescent="0.35">
      <c r="A359" s="6"/>
    </row>
    <row r="360" spans="1:1" ht="15.75" customHeight="1" x14ac:dyDescent="0.35">
      <c r="A360" s="6"/>
    </row>
    <row r="361" spans="1:1" ht="15.75" customHeight="1" x14ac:dyDescent="0.35">
      <c r="A361" s="6"/>
    </row>
    <row r="362" spans="1:1" ht="15.75" customHeight="1" x14ac:dyDescent="0.35">
      <c r="A362" s="6"/>
    </row>
    <row r="363" spans="1:1" ht="15.75" customHeight="1" x14ac:dyDescent="0.35">
      <c r="A363" s="6"/>
    </row>
    <row r="364" spans="1:1" ht="15.75" customHeight="1" x14ac:dyDescent="0.35">
      <c r="A364" s="6"/>
    </row>
    <row r="365" spans="1:1" ht="15.75" customHeight="1" x14ac:dyDescent="0.35">
      <c r="A365" s="6"/>
    </row>
    <row r="366" spans="1:1" ht="15.75" customHeight="1" x14ac:dyDescent="0.35">
      <c r="A366" s="6"/>
    </row>
    <row r="367" spans="1:1" ht="15.75" customHeight="1" x14ac:dyDescent="0.35">
      <c r="A367" s="6"/>
    </row>
    <row r="368" spans="1:1" ht="15.75" customHeight="1" x14ac:dyDescent="0.35">
      <c r="A368" s="6"/>
    </row>
    <row r="369" spans="1:1" ht="15.75" customHeight="1" x14ac:dyDescent="0.35">
      <c r="A369" s="6"/>
    </row>
    <row r="370" spans="1:1" ht="15.75" customHeight="1" x14ac:dyDescent="0.35">
      <c r="A370" s="6"/>
    </row>
    <row r="371" spans="1:1" ht="15.75" customHeight="1" x14ac:dyDescent="0.35">
      <c r="A371" s="6"/>
    </row>
    <row r="372" spans="1:1" ht="15.75" customHeight="1" x14ac:dyDescent="0.35">
      <c r="A372" s="6"/>
    </row>
    <row r="373" spans="1:1" ht="15.75" customHeight="1" x14ac:dyDescent="0.35">
      <c r="A373" s="6"/>
    </row>
    <row r="374" spans="1:1" ht="15.75" customHeight="1" x14ac:dyDescent="0.35">
      <c r="A374" s="6"/>
    </row>
    <row r="375" spans="1:1" ht="15.75" customHeight="1" x14ac:dyDescent="0.35">
      <c r="A375" s="6"/>
    </row>
    <row r="376" spans="1:1" ht="15.75" customHeight="1" x14ac:dyDescent="0.35">
      <c r="A376" s="6"/>
    </row>
    <row r="377" spans="1:1" ht="15.75" customHeight="1" x14ac:dyDescent="0.35">
      <c r="A377" s="6"/>
    </row>
    <row r="378" spans="1:1" ht="15.75" customHeight="1" x14ac:dyDescent="0.35">
      <c r="A378" s="6"/>
    </row>
    <row r="379" spans="1:1" ht="15.75" customHeight="1" x14ac:dyDescent="0.35">
      <c r="A379" s="6"/>
    </row>
    <row r="380" spans="1:1" ht="15.75" customHeight="1" x14ac:dyDescent="0.35">
      <c r="A380" s="6"/>
    </row>
    <row r="381" spans="1:1" ht="15.75" customHeight="1" x14ac:dyDescent="0.35">
      <c r="A381" s="6"/>
    </row>
    <row r="382" spans="1:1" ht="15.75" customHeight="1" x14ac:dyDescent="0.35">
      <c r="A382" s="6"/>
    </row>
    <row r="383" spans="1:1" ht="15.75" customHeight="1" x14ac:dyDescent="0.35">
      <c r="A383" s="6"/>
    </row>
    <row r="384" spans="1:1" ht="15.75" customHeight="1" x14ac:dyDescent="0.35">
      <c r="A384" s="6"/>
    </row>
    <row r="385" spans="1:1" ht="15.75" customHeight="1" x14ac:dyDescent="0.35">
      <c r="A385" s="6"/>
    </row>
    <row r="386" spans="1:1" ht="15.75" customHeight="1" x14ac:dyDescent="0.35">
      <c r="A386" s="6"/>
    </row>
    <row r="387" spans="1:1" ht="15.75" customHeight="1" x14ac:dyDescent="0.35">
      <c r="A387" s="6"/>
    </row>
    <row r="388" spans="1:1" ht="15.75" customHeight="1" x14ac:dyDescent="0.35">
      <c r="A388" s="6"/>
    </row>
    <row r="389" spans="1:1" ht="15.75" customHeight="1" x14ac:dyDescent="0.35">
      <c r="A389" s="6"/>
    </row>
    <row r="390" spans="1:1" ht="15.75" customHeight="1" x14ac:dyDescent="0.35">
      <c r="A390" s="6"/>
    </row>
    <row r="391" spans="1:1" ht="15.75" customHeight="1" x14ac:dyDescent="0.35">
      <c r="A391" s="6"/>
    </row>
    <row r="392" spans="1:1" ht="15.75" customHeight="1" x14ac:dyDescent="0.35">
      <c r="A392" s="6"/>
    </row>
    <row r="393" spans="1:1" ht="15.75" customHeight="1" x14ac:dyDescent="0.35">
      <c r="A393" s="6"/>
    </row>
    <row r="394" spans="1:1" ht="15.75" customHeight="1" x14ac:dyDescent="0.35">
      <c r="A394" s="6"/>
    </row>
    <row r="395" spans="1:1" ht="15.75" customHeight="1" x14ac:dyDescent="0.35">
      <c r="A395" s="6"/>
    </row>
    <row r="396" spans="1:1" ht="15.75" customHeight="1" x14ac:dyDescent="0.35">
      <c r="A396" s="6"/>
    </row>
    <row r="397" spans="1:1" ht="15.75" customHeight="1" x14ac:dyDescent="0.35">
      <c r="A397" s="6"/>
    </row>
    <row r="398" spans="1:1" ht="15.75" customHeight="1" x14ac:dyDescent="0.35">
      <c r="A398" s="6"/>
    </row>
    <row r="399" spans="1:1" ht="15.75" customHeight="1" x14ac:dyDescent="0.35">
      <c r="A399" s="6"/>
    </row>
    <row r="400" spans="1:1" ht="15.75" customHeight="1" x14ac:dyDescent="0.35">
      <c r="A400" s="6"/>
    </row>
    <row r="401" spans="1:1" ht="15.75" customHeight="1" x14ac:dyDescent="0.35">
      <c r="A401" s="6"/>
    </row>
    <row r="402" spans="1:1" ht="15.75" customHeight="1" x14ac:dyDescent="0.35">
      <c r="A402" s="6"/>
    </row>
    <row r="403" spans="1:1" ht="15.75" customHeight="1" x14ac:dyDescent="0.35">
      <c r="A403" s="6"/>
    </row>
    <row r="404" spans="1:1" ht="15.75" customHeight="1" x14ac:dyDescent="0.35">
      <c r="A404" s="6"/>
    </row>
    <row r="405" spans="1:1" ht="15.75" customHeight="1" x14ac:dyDescent="0.35">
      <c r="A405" s="6"/>
    </row>
    <row r="406" spans="1:1" ht="15.75" customHeight="1" x14ac:dyDescent="0.35">
      <c r="A406" s="6"/>
    </row>
    <row r="407" spans="1:1" ht="15.75" customHeight="1" x14ac:dyDescent="0.35">
      <c r="A407" s="6"/>
    </row>
    <row r="408" spans="1:1" ht="15.75" customHeight="1" x14ac:dyDescent="0.35">
      <c r="A408" s="6"/>
    </row>
    <row r="409" spans="1:1" ht="15.75" customHeight="1" x14ac:dyDescent="0.35">
      <c r="A409" s="6"/>
    </row>
    <row r="410" spans="1:1" ht="15.75" customHeight="1" x14ac:dyDescent="0.35">
      <c r="A410" s="6"/>
    </row>
    <row r="411" spans="1:1" ht="15.75" customHeight="1" x14ac:dyDescent="0.35">
      <c r="A411" s="6"/>
    </row>
    <row r="412" spans="1:1" ht="15.75" customHeight="1" x14ac:dyDescent="0.35">
      <c r="A412" s="6"/>
    </row>
    <row r="413" spans="1:1" ht="15.75" customHeight="1" x14ac:dyDescent="0.35">
      <c r="A413" s="6"/>
    </row>
    <row r="414" spans="1:1" ht="15.75" customHeight="1" x14ac:dyDescent="0.35">
      <c r="A414" s="6"/>
    </row>
    <row r="415" spans="1:1" ht="15.75" customHeight="1" x14ac:dyDescent="0.35">
      <c r="A415" s="6"/>
    </row>
    <row r="416" spans="1:1" ht="15.75" customHeight="1" x14ac:dyDescent="0.35">
      <c r="A416" s="6"/>
    </row>
    <row r="417" spans="1:1" ht="15.75" customHeight="1" x14ac:dyDescent="0.35">
      <c r="A417" s="6"/>
    </row>
    <row r="418" spans="1:1" ht="15.75" customHeight="1" x14ac:dyDescent="0.35">
      <c r="A418" s="6"/>
    </row>
    <row r="419" spans="1:1" ht="15.75" customHeight="1" x14ac:dyDescent="0.35">
      <c r="A419" s="6"/>
    </row>
    <row r="420" spans="1:1" ht="15.75" customHeight="1" x14ac:dyDescent="0.35">
      <c r="A420" s="6"/>
    </row>
    <row r="421" spans="1:1" ht="15.75" customHeight="1" x14ac:dyDescent="0.35">
      <c r="A421" s="6"/>
    </row>
    <row r="422" spans="1:1" ht="15.75" customHeight="1" x14ac:dyDescent="0.35">
      <c r="A422" s="6"/>
    </row>
    <row r="423" spans="1:1" ht="15.75" customHeight="1" x14ac:dyDescent="0.35">
      <c r="A423" s="6"/>
    </row>
    <row r="424" spans="1:1" ht="15.75" customHeight="1" x14ac:dyDescent="0.35">
      <c r="A424" s="6"/>
    </row>
    <row r="425" spans="1:1" ht="15.75" customHeight="1" x14ac:dyDescent="0.35">
      <c r="A425" s="6"/>
    </row>
    <row r="426" spans="1:1" ht="15.75" customHeight="1" x14ac:dyDescent="0.35">
      <c r="A426" s="6"/>
    </row>
    <row r="427" spans="1:1" ht="15.75" customHeight="1" x14ac:dyDescent="0.35">
      <c r="A427" s="6"/>
    </row>
    <row r="428" spans="1:1" ht="15.75" customHeight="1" x14ac:dyDescent="0.35">
      <c r="A428" s="6"/>
    </row>
    <row r="429" spans="1:1" ht="15.75" customHeight="1" x14ac:dyDescent="0.35">
      <c r="A429" s="6"/>
    </row>
    <row r="430" spans="1:1" ht="15.75" customHeight="1" x14ac:dyDescent="0.35">
      <c r="A430" s="6"/>
    </row>
    <row r="431" spans="1:1" ht="15.75" customHeight="1" x14ac:dyDescent="0.35">
      <c r="A431" s="6"/>
    </row>
    <row r="432" spans="1:1" ht="15.75" customHeight="1" x14ac:dyDescent="0.35">
      <c r="A432" s="6"/>
    </row>
    <row r="433" spans="1:1" ht="15.75" customHeight="1" x14ac:dyDescent="0.35">
      <c r="A433" s="6"/>
    </row>
    <row r="434" spans="1:1" ht="15.75" customHeight="1" x14ac:dyDescent="0.35">
      <c r="A434" s="6"/>
    </row>
    <row r="435" spans="1:1" ht="15.75" customHeight="1" x14ac:dyDescent="0.35">
      <c r="A435" s="6"/>
    </row>
    <row r="436" spans="1:1" ht="15.75" customHeight="1" x14ac:dyDescent="0.35">
      <c r="A436" s="6"/>
    </row>
    <row r="437" spans="1:1" ht="15.75" customHeight="1" x14ac:dyDescent="0.35">
      <c r="A437" s="6"/>
    </row>
    <row r="438" spans="1:1" ht="15.75" customHeight="1" x14ac:dyDescent="0.35">
      <c r="A438" s="6"/>
    </row>
    <row r="439" spans="1:1" ht="15.75" customHeight="1" x14ac:dyDescent="0.35">
      <c r="A439" s="6"/>
    </row>
    <row r="440" spans="1:1" ht="15.75" customHeight="1" x14ac:dyDescent="0.35">
      <c r="A440" s="6"/>
    </row>
    <row r="441" spans="1:1" ht="15.75" customHeight="1" x14ac:dyDescent="0.35">
      <c r="A441" s="6"/>
    </row>
    <row r="442" spans="1:1" ht="15.75" customHeight="1" x14ac:dyDescent="0.35">
      <c r="A442" s="6"/>
    </row>
    <row r="443" spans="1:1" ht="15.75" customHeight="1" x14ac:dyDescent="0.35">
      <c r="A443" s="6"/>
    </row>
    <row r="444" spans="1:1" ht="15.75" customHeight="1" x14ac:dyDescent="0.35">
      <c r="A444" s="6"/>
    </row>
    <row r="445" spans="1:1" ht="15.75" customHeight="1" x14ac:dyDescent="0.35">
      <c r="A445" s="6"/>
    </row>
    <row r="446" spans="1:1" ht="15.75" customHeight="1" x14ac:dyDescent="0.35">
      <c r="A446" s="6"/>
    </row>
    <row r="447" spans="1:1" ht="15.75" customHeight="1" x14ac:dyDescent="0.35">
      <c r="A447" s="6"/>
    </row>
    <row r="448" spans="1:1" ht="15.75" customHeight="1" x14ac:dyDescent="0.35">
      <c r="A448" s="6"/>
    </row>
    <row r="449" spans="1:1" ht="15.75" customHeight="1" x14ac:dyDescent="0.35">
      <c r="A449" s="6"/>
    </row>
    <row r="450" spans="1:1" ht="15.75" customHeight="1" x14ac:dyDescent="0.35">
      <c r="A450" s="6"/>
    </row>
    <row r="451" spans="1:1" ht="15.75" customHeight="1" x14ac:dyDescent="0.35">
      <c r="A451" s="6"/>
    </row>
    <row r="452" spans="1:1" ht="15.75" customHeight="1" x14ac:dyDescent="0.35">
      <c r="A452" s="6"/>
    </row>
    <row r="453" spans="1:1" ht="15.75" customHeight="1" x14ac:dyDescent="0.35">
      <c r="A453" s="6"/>
    </row>
    <row r="454" spans="1:1" ht="15.75" customHeight="1" x14ac:dyDescent="0.35">
      <c r="A454" s="6"/>
    </row>
    <row r="455" spans="1:1" ht="15.75" customHeight="1" x14ac:dyDescent="0.35">
      <c r="A455" s="6"/>
    </row>
    <row r="456" spans="1:1" ht="15.75" customHeight="1" x14ac:dyDescent="0.35">
      <c r="A456" s="6"/>
    </row>
    <row r="457" spans="1:1" ht="15.75" customHeight="1" x14ac:dyDescent="0.35">
      <c r="A457" s="6"/>
    </row>
    <row r="458" spans="1:1" ht="15.75" customHeight="1" x14ac:dyDescent="0.35">
      <c r="A458" s="6"/>
    </row>
    <row r="459" spans="1:1" ht="15.75" customHeight="1" x14ac:dyDescent="0.35">
      <c r="A459" s="6"/>
    </row>
    <row r="460" spans="1:1" ht="15.75" customHeight="1" x14ac:dyDescent="0.35">
      <c r="A460" s="6"/>
    </row>
    <row r="461" spans="1:1" ht="15.75" customHeight="1" x14ac:dyDescent="0.35">
      <c r="A461" s="6"/>
    </row>
    <row r="462" spans="1:1" ht="15.75" customHeight="1" x14ac:dyDescent="0.35">
      <c r="A462" s="6"/>
    </row>
    <row r="463" spans="1:1" ht="15.75" customHeight="1" x14ac:dyDescent="0.35">
      <c r="A463" s="6"/>
    </row>
    <row r="464" spans="1:1" ht="15.75" customHeight="1" x14ac:dyDescent="0.35">
      <c r="A464" s="6"/>
    </row>
    <row r="465" spans="1:1" ht="15.75" customHeight="1" x14ac:dyDescent="0.35">
      <c r="A465" s="6"/>
    </row>
    <row r="466" spans="1:1" ht="15.75" customHeight="1" x14ac:dyDescent="0.35">
      <c r="A466" s="6"/>
    </row>
    <row r="467" spans="1:1" ht="15.75" customHeight="1" x14ac:dyDescent="0.35">
      <c r="A467" s="6"/>
    </row>
    <row r="468" spans="1:1" ht="15.75" customHeight="1" x14ac:dyDescent="0.35">
      <c r="A468" s="6"/>
    </row>
    <row r="469" spans="1:1" ht="15.75" customHeight="1" x14ac:dyDescent="0.35">
      <c r="A469" s="6"/>
    </row>
    <row r="470" spans="1:1" ht="15.75" customHeight="1" x14ac:dyDescent="0.35">
      <c r="A470" s="6"/>
    </row>
    <row r="471" spans="1:1" ht="15.75" customHeight="1" x14ac:dyDescent="0.35">
      <c r="A471" s="6"/>
    </row>
    <row r="472" spans="1:1" ht="15.75" customHeight="1" x14ac:dyDescent="0.35">
      <c r="A472" s="6"/>
    </row>
    <row r="473" spans="1:1" ht="15.75" customHeight="1" x14ac:dyDescent="0.35">
      <c r="A473" s="6"/>
    </row>
    <row r="474" spans="1:1" ht="15.75" customHeight="1" x14ac:dyDescent="0.35">
      <c r="A474" s="6"/>
    </row>
    <row r="475" spans="1:1" ht="15.75" customHeight="1" x14ac:dyDescent="0.35">
      <c r="A475" s="6"/>
    </row>
    <row r="476" spans="1:1" ht="15.75" customHeight="1" x14ac:dyDescent="0.35">
      <c r="A476" s="6"/>
    </row>
    <row r="477" spans="1:1" ht="15.75" customHeight="1" x14ac:dyDescent="0.35">
      <c r="A477" s="6"/>
    </row>
    <row r="478" spans="1:1" ht="15.75" customHeight="1" x14ac:dyDescent="0.35">
      <c r="A478" s="6"/>
    </row>
    <row r="479" spans="1:1" ht="15.75" customHeight="1" x14ac:dyDescent="0.35">
      <c r="A479" s="6"/>
    </row>
    <row r="480" spans="1:1" ht="15.75" customHeight="1" x14ac:dyDescent="0.35">
      <c r="A480" s="6"/>
    </row>
    <row r="481" spans="1:1" ht="15.75" customHeight="1" x14ac:dyDescent="0.35">
      <c r="A481" s="6"/>
    </row>
    <row r="482" spans="1:1" ht="15.75" customHeight="1" x14ac:dyDescent="0.35">
      <c r="A482" s="6"/>
    </row>
    <row r="483" spans="1:1" ht="15.75" customHeight="1" x14ac:dyDescent="0.35">
      <c r="A483" s="6"/>
    </row>
    <row r="484" spans="1:1" ht="15.75" customHeight="1" x14ac:dyDescent="0.35">
      <c r="A484" s="6"/>
    </row>
    <row r="485" spans="1:1" ht="15.75" customHeight="1" x14ac:dyDescent="0.35">
      <c r="A485" s="6"/>
    </row>
    <row r="486" spans="1:1" ht="15.75" customHeight="1" x14ac:dyDescent="0.35">
      <c r="A486" s="6"/>
    </row>
    <row r="487" spans="1:1" ht="15.75" customHeight="1" x14ac:dyDescent="0.35">
      <c r="A487" s="6"/>
    </row>
    <row r="488" spans="1:1" ht="15.75" customHeight="1" x14ac:dyDescent="0.35">
      <c r="A488" s="6"/>
    </row>
    <row r="489" spans="1:1" ht="15.75" customHeight="1" x14ac:dyDescent="0.35">
      <c r="A489" s="6"/>
    </row>
    <row r="490" spans="1:1" ht="15.75" customHeight="1" x14ac:dyDescent="0.35">
      <c r="A490" s="6"/>
    </row>
    <row r="491" spans="1:1" ht="15.75" customHeight="1" x14ac:dyDescent="0.35">
      <c r="A491" s="6"/>
    </row>
    <row r="492" spans="1:1" ht="15.75" customHeight="1" x14ac:dyDescent="0.35">
      <c r="A492" s="6"/>
    </row>
    <row r="493" spans="1:1" ht="15.75" customHeight="1" x14ac:dyDescent="0.35">
      <c r="A493" s="6"/>
    </row>
    <row r="494" spans="1:1" ht="15.75" customHeight="1" x14ac:dyDescent="0.35">
      <c r="A494" s="6"/>
    </row>
    <row r="495" spans="1:1" ht="15.75" customHeight="1" x14ac:dyDescent="0.35">
      <c r="A495" s="6"/>
    </row>
    <row r="496" spans="1:1" ht="15.75" customHeight="1" x14ac:dyDescent="0.35">
      <c r="A496" s="6"/>
    </row>
    <row r="497" spans="1:1" ht="15.75" customHeight="1" x14ac:dyDescent="0.35">
      <c r="A497" s="6"/>
    </row>
    <row r="498" spans="1:1" ht="15.75" customHeight="1" x14ac:dyDescent="0.35">
      <c r="A498" s="6"/>
    </row>
    <row r="499" spans="1:1" ht="15.75" customHeight="1" x14ac:dyDescent="0.35">
      <c r="A499" s="6"/>
    </row>
    <row r="500" spans="1:1" ht="15.75" customHeight="1" x14ac:dyDescent="0.35">
      <c r="A500" s="6"/>
    </row>
    <row r="501" spans="1:1" ht="15.75" customHeight="1" x14ac:dyDescent="0.35">
      <c r="A501" s="6"/>
    </row>
    <row r="502" spans="1:1" ht="15.75" customHeight="1" x14ac:dyDescent="0.35">
      <c r="A502" s="6"/>
    </row>
    <row r="503" spans="1:1" ht="15.75" customHeight="1" x14ac:dyDescent="0.35">
      <c r="A503" s="6"/>
    </row>
    <row r="504" spans="1:1" ht="15.75" customHeight="1" x14ac:dyDescent="0.35">
      <c r="A504" s="6"/>
    </row>
    <row r="505" spans="1:1" ht="15.75" customHeight="1" x14ac:dyDescent="0.35">
      <c r="A505" s="6"/>
    </row>
    <row r="506" spans="1:1" ht="15.75" customHeight="1" x14ac:dyDescent="0.35">
      <c r="A506" s="6"/>
    </row>
    <row r="507" spans="1:1" ht="15.75" customHeight="1" x14ac:dyDescent="0.35">
      <c r="A507" s="6"/>
    </row>
    <row r="508" spans="1:1" ht="15.75" customHeight="1" x14ac:dyDescent="0.35">
      <c r="A508" s="6"/>
    </row>
    <row r="509" spans="1:1" ht="15.75" customHeight="1" x14ac:dyDescent="0.35">
      <c r="A509" s="6"/>
    </row>
    <row r="510" spans="1:1" ht="15.75" customHeight="1" x14ac:dyDescent="0.35">
      <c r="A510" s="6"/>
    </row>
    <row r="511" spans="1:1" ht="15.75" customHeight="1" x14ac:dyDescent="0.35">
      <c r="A511" s="6"/>
    </row>
    <row r="512" spans="1:1" ht="15.75" customHeight="1" x14ac:dyDescent="0.35">
      <c r="A512" s="6"/>
    </row>
    <row r="513" spans="1:1" ht="15.75" customHeight="1" x14ac:dyDescent="0.35">
      <c r="A513" s="6"/>
    </row>
    <row r="514" spans="1:1" ht="15.75" customHeight="1" x14ac:dyDescent="0.35">
      <c r="A514" s="6"/>
    </row>
    <row r="515" spans="1:1" ht="15.75" customHeight="1" x14ac:dyDescent="0.35">
      <c r="A515" s="6"/>
    </row>
    <row r="516" spans="1:1" ht="15.75" customHeight="1" x14ac:dyDescent="0.35">
      <c r="A516" s="6"/>
    </row>
    <row r="517" spans="1:1" ht="15.75" customHeight="1" x14ac:dyDescent="0.35">
      <c r="A517" s="6"/>
    </row>
    <row r="518" spans="1:1" ht="15.75" customHeight="1" x14ac:dyDescent="0.35">
      <c r="A518" s="6"/>
    </row>
    <row r="519" spans="1:1" ht="15.75" customHeight="1" x14ac:dyDescent="0.35">
      <c r="A519" s="6"/>
    </row>
    <row r="520" spans="1:1" ht="15.75" customHeight="1" x14ac:dyDescent="0.35">
      <c r="A520" s="6"/>
    </row>
    <row r="521" spans="1:1" ht="15.75" customHeight="1" x14ac:dyDescent="0.35">
      <c r="A521" s="6"/>
    </row>
    <row r="522" spans="1:1" ht="15.75" customHeight="1" x14ac:dyDescent="0.35">
      <c r="A522" s="6"/>
    </row>
    <row r="523" spans="1:1" ht="15.75" customHeight="1" x14ac:dyDescent="0.35">
      <c r="A523" s="6"/>
    </row>
    <row r="524" spans="1:1" ht="15.75" customHeight="1" x14ac:dyDescent="0.35">
      <c r="A524" s="6"/>
    </row>
    <row r="525" spans="1:1" ht="15.75" customHeight="1" x14ac:dyDescent="0.35">
      <c r="A525" s="6"/>
    </row>
    <row r="526" spans="1:1" ht="15.75" customHeight="1" x14ac:dyDescent="0.35">
      <c r="A526" s="6"/>
    </row>
    <row r="527" spans="1:1" ht="15.75" customHeight="1" x14ac:dyDescent="0.35">
      <c r="A527" s="6"/>
    </row>
    <row r="528" spans="1:1" ht="15.75" customHeight="1" x14ac:dyDescent="0.35">
      <c r="A528" s="6"/>
    </row>
    <row r="529" spans="1:1" ht="15.75" customHeight="1" x14ac:dyDescent="0.35">
      <c r="A529" s="6"/>
    </row>
    <row r="530" spans="1:1" ht="15.75" customHeight="1" x14ac:dyDescent="0.35">
      <c r="A530" s="6"/>
    </row>
    <row r="531" spans="1:1" ht="15.75" customHeight="1" x14ac:dyDescent="0.35">
      <c r="A531" s="6"/>
    </row>
    <row r="532" spans="1:1" ht="15.75" customHeight="1" x14ac:dyDescent="0.35">
      <c r="A532" s="6"/>
    </row>
    <row r="533" spans="1:1" ht="15.75" customHeight="1" x14ac:dyDescent="0.35">
      <c r="A533" s="6"/>
    </row>
    <row r="534" spans="1:1" ht="15.75" customHeight="1" x14ac:dyDescent="0.35">
      <c r="A534" s="6"/>
    </row>
    <row r="535" spans="1:1" ht="15.75" customHeight="1" x14ac:dyDescent="0.35">
      <c r="A535" s="6"/>
    </row>
    <row r="536" spans="1:1" ht="15.75" customHeight="1" x14ac:dyDescent="0.35">
      <c r="A536" s="6"/>
    </row>
    <row r="537" spans="1:1" ht="15.75" customHeight="1" x14ac:dyDescent="0.35">
      <c r="A537" s="6"/>
    </row>
    <row r="538" spans="1:1" ht="15.75" customHeight="1" x14ac:dyDescent="0.35">
      <c r="A538" s="6"/>
    </row>
    <row r="539" spans="1:1" ht="15.75" customHeight="1" x14ac:dyDescent="0.35">
      <c r="A539" s="6"/>
    </row>
    <row r="540" spans="1:1" ht="15.75" customHeight="1" x14ac:dyDescent="0.35">
      <c r="A540" s="6"/>
    </row>
    <row r="541" spans="1:1" ht="15.75" customHeight="1" x14ac:dyDescent="0.35">
      <c r="A541" s="6"/>
    </row>
    <row r="542" spans="1:1" ht="15.75" customHeight="1" x14ac:dyDescent="0.35">
      <c r="A542" s="6"/>
    </row>
    <row r="543" spans="1:1" ht="15.75" customHeight="1" x14ac:dyDescent="0.35">
      <c r="A543" s="6"/>
    </row>
    <row r="544" spans="1:1" ht="15.75" customHeight="1" x14ac:dyDescent="0.35">
      <c r="A544" s="6"/>
    </row>
    <row r="545" spans="1:1" ht="15.75" customHeight="1" x14ac:dyDescent="0.35">
      <c r="A545" s="6"/>
    </row>
    <row r="546" spans="1:1" ht="15.75" customHeight="1" x14ac:dyDescent="0.35">
      <c r="A546" s="6"/>
    </row>
    <row r="547" spans="1:1" ht="15.75" customHeight="1" x14ac:dyDescent="0.35">
      <c r="A547" s="6"/>
    </row>
    <row r="548" spans="1:1" ht="15.75" customHeight="1" x14ac:dyDescent="0.35">
      <c r="A548" s="6"/>
    </row>
    <row r="549" spans="1:1" ht="15.75" customHeight="1" x14ac:dyDescent="0.35">
      <c r="A549" s="6"/>
    </row>
    <row r="550" spans="1:1" ht="15.75" customHeight="1" x14ac:dyDescent="0.35">
      <c r="A550" s="6"/>
    </row>
    <row r="551" spans="1:1" ht="15.75" customHeight="1" x14ac:dyDescent="0.35">
      <c r="A551" s="6"/>
    </row>
    <row r="552" spans="1:1" ht="15.75" customHeight="1" x14ac:dyDescent="0.35">
      <c r="A552" s="6"/>
    </row>
    <row r="553" spans="1:1" ht="15.75" customHeight="1" x14ac:dyDescent="0.35">
      <c r="A553" s="6"/>
    </row>
    <row r="554" spans="1:1" ht="15.75" customHeight="1" x14ac:dyDescent="0.35">
      <c r="A554" s="6"/>
    </row>
    <row r="555" spans="1:1" ht="15.75" customHeight="1" x14ac:dyDescent="0.35">
      <c r="A555" s="6"/>
    </row>
    <row r="556" spans="1:1" ht="15.75" customHeight="1" x14ac:dyDescent="0.35">
      <c r="A556" s="6"/>
    </row>
    <row r="557" spans="1:1" ht="15.75" customHeight="1" x14ac:dyDescent="0.35">
      <c r="A557" s="6"/>
    </row>
    <row r="558" spans="1:1" ht="15.75" customHeight="1" x14ac:dyDescent="0.35">
      <c r="A558" s="6"/>
    </row>
    <row r="559" spans="1:1" ht="15.75" customHeight="1" x14ac:dyDescent="0.35">
      <c r="A559" s="6"/>
    </row>
    <row r="560" spans="1:1" ht="15.75" customHeight="1" x14ac:dyDescent="0.35">
      <c r="A560" s="6"/>
    </row>
    <row r="561" spans="1:1" ht="15.75" customHeight="1" x14ac:dyDescent="0.35">
      <c r="A561" s="6"/>
    </row>
    <row r="562" spans="1:1" ht="15.75" customHeight="1" x14ac:dyDescent="0.35">
      <c r="A562" s="6"/>
    </row>
    <row r="563" spans="1:1" ht="15.75" customHeight="1" x14ac:dyDescent="0.35">
      <c r="A563" s="6"/>
    </row>
    <row r="564" spans="1:1" ht="15.75" customHeight="1" x14ac:dyDescent="0.35">
      <c r="A564" s="6"/>
    </row>
    <row r="565" spans="1:1" ht="15.75" customHeight="1" x14ac:dyDescent="0.35">
      <c r="A565" s="6"/>
    </row>
    <row r="566" spans="1:1" ht="15.75" customHeight="1" x14ac:dyDescent="0.35">
      <c r="A566" s="6"/>
    </row>
    <row r="567" spans="1:1" ht="15.75" customHeight="1" x14ac:dyDescent="0.35">
      <c r="A567" s="6"/>
    </row>
    <row r="568" spans="1:1" ht="15.75" customHeight="1" x14ac:dyDescent="0.35">
      <c r="A568" s="6"/>
    </row>
    <row r="569" spans="1:1" ht="15.75" customHeight="1" x14ac:dyDescent="0.35">
      <c r="A569" s="6"/>
    </row>
    <row r="570" spans="1:1" ht="15.75" customHeight="1" x14ac:dyDescent="0.35">
      <c r="A570" s="6"/>
    </row>
    <row r="571" spans="1:1" ht="15.75" customHeight="1" x14ac:dyDescent="0.35">
      <c r="A571" s="6"/>
    </row>
    <row r="572" spans="1:1" ht="15.75" customHeight="1" x14ac:dyDescent="0.35">
      <c r="A572" s="6"/>
    </row>
    <row r="573" spans="1:1" ht="15.75" customHeight="1" x14ac:dyDescent="0.35">
      <c r="A573" s="6"/>
    </row>
    <row r="574" spans="1:1" ht="15.75" customHeight="1" x14ac:dyDescent="0.35">
      <c r="A574" s="6"/>
    </row>
    <row r="575" spans="1:1" ht="15.75" customHeight="1" x14ac:dyDescent="0.35">
      <c r="A575" s="6"/>
    </row>
    <row r="576" spans="1:1" ht="15.75" customHeight="1" x14ac:dyDescent="0.35">
      <c r="A576" s="6"/>
    </row>
    <row r="577" spans="1:1" ht="15.75" customHeight="1" x14ac:dyDescent="0.35">
      <c r="A577" s="6"/>
    </row>
    <row r="578" spans="1:1" ht="15.75" customHeight="1" x14ac:dyDescent="0.35">
      <c r="A578" s="6"/>
    </row>
    <row r="579" spans="1:1" ht="15.75" customHeight="1" x14ac:dyDescent="0.35">
      <c r="A579" s="6"/>
    </row>
    <row r="580" spans="1:1" ht="15.75" customHeight="1" x14ac:dyDescent="0.35">
      <c r="A580" s="6"/>
    </row>
    <row r="581" spans="1:1" ht="15.75" customHeight="1" x14ac:dyDescent="0.35">
      <c r="A581" s="6"/>
    </row>
    <row r="582" spans="1:1" ht="15.75" customHeight="1" x14ac:dyDescent="0.35">
      <c r="A582" s="6"/>
    </row>
    <row r="583" spans="1:1" ht="15.75" customHeight="1" x14ac:dyDescent="0.35">
      <c r="A583" s="6"/>
    </row>
    <row r="584" spans="1:1" ht="15.75" customHeight="1" x14ac:dyDescent="0.35">
      <c r="A584" s="6"/>
    </row>
    <row r="585" spans="1:1" ht="15.75" customHeight="1" x14ac:dyDescent="0.35">
      <c r="A585" s="6"/>
    </row>
    <row r="586" spans="1:1" ht="15.75" customHeight="1" x14ac:dyDescent="0.35">
      <c r="A586" s="6"/>
    </row>
    <row r="587" spans="1:1" ht="15.75" customHeight="1" x14ac:dyDescent="0.35">
      <c r="A587" s="6"/>
    </row>
    <row r="588" spans="1:1" ht="15.75" customHeight="1" x14ac:dyDescent="0.35">
      <c r="A588" s="6"/>
    </row>
    <row r="589" spans="1:1" ht="15.75" customHeight="1" x14ac:dyDescent="0.35">
      <c r="A589" s="6"/>
    </row>
    <row r="590" spans="1:1" ht="15.75" customHeight="1" x14ac:dyDescent="0.35">
      <c r="A590" s="6"/>
    </row>
    <row r="591" spans="1:1" ht="15.75" customHeight="1" x14ac:dyDescent="0.35">
      <c r="A591" s="6"/>
    </row>
    <row r="592" spans="1:1" ht="15.75" customHeight="1" x14ac:dyDescent="0.35">
      <c r="A592" s="6"/>
    </row>
    <row r="593" spans="1:1" ht="15.75" customHeight="1" x14ac:dyDescent="0.35">
      <c r="A593" s="6"/>
    </row>
    <row r="594" spans="1:1" ht="15.75" customHeight="1" x14ac:dyDescent="0.35">
      <c r="A594" s="6"/>
    </row>
    <row r="595" spans="1:1" ht="15.75" customHeight="1" x14ac:dyDescent="0.35">
      <c r="A595" s="6"/>
    </row>
    <row r="596" spans="1:1" ht="15.75" customHeight="1" x14ac:dyDescent="0.35">
      <c r="A596" s="6"/>
    </row>
    <row r="597" spans="1:1" ht="15.75" customHeight="1" x14ac:dyDescent="0.35">
      <c r="A597" s="6"/>
    </row>
    <row r="598" spans="1:1" ht="15.75" customHeight="1" x14ac:dyDescent="0.35">
      <c r="A598" s="6"/>
    </row>
    <row r="599" spans="1:1" ht="15.75" customHeight="1" x14ac:dyDescent="0.35">
      <c r="A599" s="6"/>
    </row>
    <row r="600" spans="1:1" ht="15.75" customHeight="1" x14ac:dyDescent="0.35">
      <c r="A600" s="6"/>
    </row>
    <row r="601" spans="1:1" ht="15.75" customHeight="1" x14ac:dyDescent="0.35">
      <c r="A601" s="6"/>
    </row>
    <row r="602" spans="1:1" ht="15.75" customHeight="1" x14ac:dyDescent="0.35">
      <c r="A602" s="6"/>
    </row>
    <row r="603" spans="1:1" ht="15.75" customHeight="1" x14ac:dyDescent="0.35">
      <c r="A603" s="6"/>
    </row>
    <row r="604" spans="1:1" ht="15.75" customHeight="1" x14ac:dyDescent="0.35">
      <c r="A604" s="6"/>
    </row>
    <row r="605" spans="1:1" ht="15.75" customHeight="1" x14ac:dyDescent="0.35">
      <c r="A605" s="6"/>
    </row>
    <row r="606" spans="1:1" ht="15.75" customHeight="1" x14ac:dyDescent="0.35">
      <c r="A606" s="6"/>
    </row>
    <row r="607" spans="1:1" ht="15.75" customHeight="1" x14ac:dyDescent="0.35">
      <c r="A607" s="6"/>
    </row>
    <row r="608" spans="1:1" ht="15.75" customHeight="1" x14ac:dyDescent="0.35">
      <c r="A608" s="6"/>
    </row>
    <row r="609" spans="1:1" ht="15.75" customHeight="1" x14ac:dyDescent="0.35">
      <c r="A609" s="6"/>
    </row>
    <row r="610" spans="1:1" ht="15.75" customHeight="1" x14ac:dyDescent="0.35">
      <c r="A610" s="6"/>
    </row>
    <row r="611" spans="1:1" ht="15.75" customHeight="1" x14ac:dyDescent="0.35">
      <c r="A611" s="6"/>
    </row>
    <row r="612" spans="1:1" ht="15.75" customHeight="1" x14ac:dyDescent="0.35">
      <c r="A612" s="6"/>
    </row>
    <row r="613" spans="1:1" ht="15.75" customHeight="1" x14ac:dyDescent="0.35">
      <c r="A613" s="6"/>
    </row>
    <row r="614" spans="1:1" ht="15.75" customHeight="1" x14ac:dyDescent="0.35">
      <c r="A614" s="6"/>
    </row>
    <row r="615" spans="1:1" ht="15.75" customHeight="1" x14ac:dyDescent="0.35">
      <c r="A615" s="6"/>
    </row>
    <row r="616" spans="1:1" ht="15.75" customHeight="1" x14ac:dyDescent="0.35">
      <c r="A616" s="6"/>
    </row>
    <row r="617" spans="1:1" ht="15.75" customHeight="1" x14ac:dyDescent="0.35">
      <c r="A617" s="6"/>
    </row>
    <row r="618" spans="1:1" ht="15.75" customHeight="1" x14ac:dyDescent="0.35">
      <c r="A618" s="6"/>
    </row>
    <row r="619" spans="1:1" ht="15.75" customHeight="1" x14ac:dyDescent="0.35">
      <c r="A619" s="6"/>
    </row>
    <row r="620" spans="1:1" ht="15.75" customHeight="1" x14ac:dyDescent="0.35">
      <c r="A620" s="6"/>
    </row>
    <row r="621" spans="1:1" ht="15.75" customHeight="1" x14ac:dyDescent="0.35">
      <c r="A621" s="6"/>
    </row>
    <row r="622" spans="1:1" ht="15.75" customHeight="1" x14ac:dyDescent="0.35">
      <c r="A622" s="6"/>
    </row>
    <row r="623" spans="1:1" ht="15.75" customHeight="1" x14ac:dyDescent="0.35">
      <c r="A623" s="6"/>
    </row>
    <row r="624" spans="1:1" ht="15.75" customHeight="1" x14ac:dyDescent="0.35">
      <c r="A624" s="6"/>
    </row>
    <row r="625" spans="1:1" ht="15.75" customHeight="1" x14ac:dyDescent="0.35">
      <c r="A625" s="6"/>
    </row>
    <row r="626" spans="1:1" ht="15.75" customHeight="1" x14ac:dyDescent="0.35">
      <c r="A626" s="6"/>
    </row>
    <row r="627" spans="1:1" ht="15.75" customHeight="1" x14ac:dyDescent="0.35">
      <c r="A627" s="6"/>
    </row>
    <row r="628" spans="1:1" ht="15.75" customHeight="1" x14ac:dyDescent="0.35">
      <c r="A628" s="6"/>
    </row>
    <row r="629" spans="1:1" ht="15.75" customHeight="1" x14ac:dyDescent="0.35">
      <c r="A629" s="6"/>
    </row>
    <row r="630" spans="1:1" ht="15.75" customHeight="1" x14ac:dyDescent="0.35">
      <c r="A630" s="6"/>
    </row>
    <row r="631" spans="1:1" ht="15.75" customHeight="1" x14ac:dyDescent="0.35">
      <c r="A631" s="6"/>
    </row>
    <row r="632" spans="1:1" ht="15.75" customHeight="1" x14ac:dyDescent="0.35">
      <c r="A632" s="6"/>
    </row>
    <row r="633" spans="1:1" ht="15.75" customHeight="1" x14ac:dyDescent="0.35">
      <c r="A633" s="6"/>
    </row>
    <row r="634" spans="1:1" ht="15.75" customHeight="1" x14ac:dyDescent="0.35">
      <c r="A634" s="6"/>
    </row>
    <row r="635" spans="1:1" ht="15.75" customHeight="1" x14ac:dyDescent="0.35">
      <c r="A635" s="6"/>
    </row>
    <row r="636" spans="1:1" ht="15.75" customHeight="1" x14ac:dyDescent="0.35">
      <c r="A636" s="6"/>
    </row>
    <row r="637" spans="1:1" ht="15.75" customHeight="1" x14ac:dyDescent="0.35">
      <c r="A637" s="6"/>
    </row>
    <row r="638" spans="1:1" ht="15.75" customHeight="1" x14ac:dyDescent="0.35">
      <c r="A638" s="6"/>
    </row>
    <row r="639" spans="1:1" ht="15.75" customHeight="1" x14ac:dyDescent="0.35">
      <c r="A639" s="6"/>
    </row>
    <row r="640" spans="1:1" ht="15.75" customHeight="1" x14ac:dyDescent="0.35">
      <c r="A640" s="6"/>
    </row>
    <row r="641" spans="1:1" ht="15.75" customHeight="1" x14ac:dyDescent="0.35">
      <c r="A641" s="6"/>
    </row>
    <row r="642" spans="1:1" ht="15.75" customHeight="1" x14ac:dyDescent="0.35">
      <c r="A642" s="6"/>
    </row>
    <row r="643" spans="1:1" ht="15.75" customHeight="1" x14ac:dyDescent="0.35">
      <c r="A643" s="6"/>
    </row>
    <row r="644" spans="1:1" ht="15.75" customHeight="1" x14ac:dyDescent="0.35">
      <c r="A644" s="6"/>
    </row>
    <row r="645" spans="1:1" ht="15.75" customHeight="1" x14ac:dyDescent="0.35">
      <c r="A645" s="6"/>
    </row>
    <row r="646" spans="1:1" ht="15.75" customHeight="1" x14ac:dyDescent="0.35">
      <c r="A646" s="6"/>
    </row>
    <row r="647" spans="1:1" ht="15.75" customHeight="1" x14ac:dyDescent="0.35">
      <c r="A647" s="6"/>
    </row>
    <row r="648" spans="1:1" ht="15.75" customHeight="1" x14ac:dyDescent="0.35">
      <c r="A648" s="6"/>
    </row>
    <row r="649" spans="1:1" ht="15.75" customHeight="1" x14ac:dyDescent="0.35">
      <c r="A649" s="6"/>
    </row>
    <row r="650" spans="1:1" ht="15.75" customHeight="1" x14ac:dyDescent="0.35">
      <c r="A650" s="6"/>
    </row>
    <row r="651" spans="1:1" ht="15.75" customHeight="1" x14ac:dyDescent="0.35">
      <c r="A651" s="6"/>
    </row>
    <row r="652" spans="1:1" ht="15.75" customHeight="1" x14ac:dyDescent="0.35">
      <c r="A652" s="6"/>
    </row>
    <row r="653" spans="1:1" ht="15.75" customHeight="1" x14ac:dyDescent="0.35">
      <c r="A653" s="6"/>
    </row>
    <row r="654" spans="1:1" ht="15.75" customHeight="1" x14ac:dyDescent="0.35">
      <c r="A654" s="6"/>
    </row>
    <row r="655" spans="1:1" ht="15.75" customHeight="1" x14ac:dyDescent="0.35">
      <c r="A655" s="6"/>
    </row>
    <row r="656" spans="1:1" ht="15.75" customHeight="1" x14ac:dyDescent="0.35">
      <c r="A656" s="6"/>
    </row>
    <row r="657" spans="1:1" ht="15.75" customHeight="1" x14ac:dyDescent="0.35">
      <c r="A657" s="6"/>
    </row>
    <row r="658" spans="1:1" ht="15.75" customHeight="1" x14ac:dyDescent="0.35">
      <c r="A658" s="6"/>
    </row>
    <row r="659" spans="1:1" ht="15.75" customHeight="1" x14ac:dyDescent="0.35">
      <c r="A659" s="6"/>
    </row>
    <row r="660" spans="1:1" ht="15.75" customHeight="1" x14ac:dyDescent="0.35">
      <c r="A660" s="6"/>
    </row>
    <row r="661" spans="1:1" ht="15.75" customHeight="1" x14ac:dyDescent="0.35">
      <c r="A661" s="6"/>
    </row>
    <row r="662" spans="1:1" ht="15.75" customHeight="1" x14ac:dyDescent="0.35">
      <c r="A662" s="6"/>
    </row>
    <row r="663" spans="1:1" ht="15.75" customHeight="1" x14ac:dyDescent="0.35">
      <c r="A663" s="6"/>
    </row>
    <row r="664" spans="1:1" ht="15.75" customHeight="1" x14ac:dyDescent="0.35">
      <c r="A664" s="6"/>
    </row>
    <row r="665" spans="1:1" ht="15.75" customHeight="1" x14ac:dyDescent="0.35">
      <c r="A665" s="6"/>
    </row>
    <row r="666" spans="1:1" ht="15.75" customHeight="1" x14ac:dyDescent="0.35">
      <c r="A666" s="6"/>
    </row>
    <row r="667" spans="1:1" ht="15.75" customHeight="1" x14ac:dyDescent="0.35">
      <c r="A667" s="6"/>
    </row>
    <row r="668" spans="1:1" ht="15.75" customHeight="1" x14ac:dyDescent="0.35">
      <c r="A668" s="6"/>
    </row>
    <row r="669" spans="1:1" ht="15.75" customHeight="1" x14ac:dyDescent="0.35">
      <c r="A669" s="6"/>
    </row>
    <row r="670" spans="1:1" ht="15.75" customHeight="1" x14ac:dyDescent="0.35">
      <c r="A670" s="6"/>
    </row>
    <row r="671" spans="1:1" ht="15.75" customHeight="1" x14ac:dyDescent="0.35">
      <c r="A671" s="6"/>
    </row>
    <row r="672" spans="1:1" ht="15.75" customHeight="1" x14ac:dyDescent="0.35">
      <c r="A672" s="6"/>
    </row>
    <row r="673" spans="1:1" ht="15.75" customHeight="1" x14ac:dyDescent="0.35">
      <c r="A673" s="6"/>
    </row>
    <row r="674" spans="1:1" ht="15.75" customHeight="1" x14ac:dyDescent="0.35">
      <c r="A674" s="6"/>
    </row>
    <row r="675" spans="1:1" ht="15.75" customHeight="1" x14ac:dyDescent="0.35">
      <c r="A675" s="6"/>
    </row>
    <row r="676" spans="1:1" ht="15.75" customHeight="1" x14ac:dyDescent="0.35">
      <c r="A676" s="6"/>
    </row>
    <row r="677" spans="1:1" ht="15.75" customHeight="1" x14ac:dyDescent="0.35">
      <c r="A677" s="6"/>
    </row>
    <row r="678" spans="1:1" ht="15.75" customHeight="1" x14ac:dyDescent="0.35">
      <c r="A678" s="6"/>
    </row>
    <row r="679" spans="1:1" ht="15.75" customHeight="1" x14ac:dyDescent="0.35">
      <c r="A679" s="6"/>
    </row>
    <row r="680" spans="1:1" ht="15.75" customHeight="1" x14ac:dyDescent="0.35">
      <c r="A680" s="6"/>
    </row>
    <row r="681" spans="1:1" ht="15.75" customHeight="1" x14ac:dyDescent="0.35">
      <c r="A681" s="6"/>
    </row>
    <row r="682" spans="1:1" ht="15.75" customHeight="1" x14ac:dyDescent="0.35">
      <c r="A682" s="6"/>
    </row>
    <row r="683" spans="1:1" ht="15.75" customHeight="1" x14ac:dyDescent="0.35">
      <c r="A683" s="6"/>
    </row>
    <row r="684" spans="1:1" ht="15.75" customHeight="1" x14ac:dyDescent="0.35">
      <c r="A684" s="6"/>
    </row>
    <row r="685" spans="1:1" ht="15.75" customHeight="1" x14ac:dyDescent="0.35">
      <c r="A685" s="6"/>
    </row>
    <row r="686" spans="1:1" ht="15.75" customHeight="1" x14ac:dyDescent="0.35">
      <c r="A686" s="6"/>
    </row>
    <row r="687" spans="1:1" ht="15.75" customHeight="1" x14ac:dyDescent="0.35">
      <c r="A687" s="6"/>
    </row>
    <row r="688" spans="1:1" ht="15.75" customHeight="1" x14ac:dyDescent="0.35">
      <c r="A688" s="6"/>
    </row>
    <row r="689" spans="1:1" ht="15.75" customHeight="1" x14ac:dyDescent="0.35">
      <c r="A689" s="6"/>
    </row>
    <row r="690" spans="1:1" ht="15.75" customHeight="1" x14ac:dyDescent="0.35">
      <c r="A690" s="6"/>
    </row>
    <row r="691" spans="1:1" ht="15.75" customHeight="1" x14ac:dyDescent="0.35">
      <c r="A691" s="6"/>
    </row>
    <row r="692" spans="1:1" ht="15.75" customHeight="1" x14ac:dyDescent="0.35">
      <c r="A692" s="6"/>
    </row>
    <row r="693" spans="1:1" ht="15.75" customHeight="1" x14ac:dyDescent="0.35">
      <c r="A693" s="6"/>
    </row>
    <row r="694" spans="1:1" ht="15.75" customHeight="1" x14ac:dyDescent="0.35">
      <c r="A694" s="6"/>
    </row>
    <row r="695" spans="1:1" ht="15.75" customHeight="1" x14ac:dyDescent="0.35">
      <c r="A695" s="6"/>
    </row>
    <row r="696" spans="1:1" ht="15.75" customHeight="1" x14ac:dyDescent="0.35">
      <c r="A696" s="6"/>
    </row>
    <row r="697" spans="1:1" ht="15.75" customHeight="1" x14ac:dyDescent="0.35">
      <c r="A697" s="6"/>
    </row>
    <row r="698" spans="1:1" ht="15.75" customHeight="1" x14ac:dyDescent="0.35">
      <c r="A698" s="6"/>
    </row>
    <row r="699" spans="1:1" ht="15.75" customHeight="1" x14ac:dyDescent="0.35">
      <c r="A699" s="6"/>
    </row>
    <row r="700" spans="1:1" ht="15.75" customHeight="1" x14ac:dyDescent="0.35">
      <c r="A700" s="6"/>
    </row>
    <row r="701" spans="1:1" ht="15.75" customHeight="1" x14ac:dyDescent="0.35">
      <c r="A701" s="6"/>
    </row>
    <row r="702" spans="1:1" ht="15.75" customHeight="1" x14ac:dyDescent="0.35">
      <c r="A702" s="6"/>
    </row>
    <row r="703" spans="1:1" ht="15.75" customHeight="1" x14ac:dyDescent="0.35">
      <c r="A703" s="6"/>
    </row>
    <row r="704" spans="1:1" ht="15.75" customHeight="1" x14ac:dyDescent="0.35">
      <c r="A704" s="6"/>
    </row>
    <row r="705" spans="1:1" ht="15.75" customHeight="1" x14ac:dyDescent="0.35">
      <c r="A705" s="6"/>
    </row>
    <row r="706" spans="1:1" ht="15.75" customHeight="1" x14ac:dyDescent="0.35">
      <c r="A706" s="6"/>
    </row>
    <row r="707" spans="1:1" ht="15.75" customHeight="1" x14ac:dyDescent="0.35">
      <c r="A707" s="6"/>
    </row>
    <row r="708" spans="1:1" ht="15.75" customHeight="1" x14ac:dyDescent="0.35">
      <c r="A708" s="6"/>
    </row>
    <row r="709" spans="1:1" ht="15.75" customHeight="1" x14ac:dyDescent="0.35">
      <c r="A709" s="6"/>
    </row>
    <row r="710" spans="1:1" ht="15.75" customHeight="1" x14ac:dyDescent="0.35">
      <c r="A710" s="6"/>
    </row>
    <row r="711" spans="1:1" ht="15.75" customHeight="1" x14ac:dyDescent="0.35">
      <c r="A711" s="6"/>
    </row>
    <row r="712" spans="1:1" ht="15.75" customHeight="1" x14ac:dyDescent="0.35">
      <c r="A712" s="6"/>
    </row>
    <row r="713" spans="1:1" ht="15.75" customHeight="1" x14ac:dyDescent="0.35">
      <c r="A713" s="6"/>
    </row>
    <row r="714" spans="1:1" ht="15.75" customHeight="1" x14ac:dyDescent="0.35">
      <c r="A714" s="6"/>
    </row>
    <row r="715" spans="1:1" ht="15.75" customHeight="1" x14ac:dyDescent="0.35">
      <c r="A715" s="6"/>
    </row>
    <row r="716" spans="1:1" ht="15.75" customHeight="1" x14ac:dyDescent="0.35">
      <c r="A716" s="6"/>
    </row>
    <row r="717" spans="1:1" ht="15.75" customHeight="1" x14ac:dyDescent="0.35">
      <c r="A717" s="6"/>
    </row>
    <row r="718" spans="1:1" ht="15.75" customHeight="1" x14ac:dyDescent="0.35">
      <c r="A718" s="6"/>
    </row>
    <row r="719" spans="1:1" ht="15.75" customHeight="1" x14ac:dyDescent="0.35">
      <c r="A719" s="6"/>
    </row>
    <row r="720" spans="1:1" ht="15.75" customHeight="1" x14ac:dyDescent="0.35">
      <c r="A720" s="6"/>
    </row>
    <row r="721" spans="1:1" ht="15.75" customHeight="1" x14ac:dyDescent="0.35">
      <c r="A721" s="6"/>
    </row>
    <row r="722" spans="1:1" ht="15.75" customHeight="1" x14ac:dyDescent="0.35">
      <c r="A722" s="6"/>
    </row>
    <row r="723" spans="1:1" ht="15.75" customHeight="1" x14ac:dyDescent="0.35">
      <c r="A723" s="6"/>
    </row>
    <row r="724" spans="1:1" ht="15.75" customHeight="1" x14ac:dyDescent="0.35">
      <c r="A724" s="6"/>
    </row>
    <row r="725" spans="1:1" ht="15.75" customHeight="1" x14ac:dyDescent="0.35">
      <c r="A725" s="6"/>
    </row>
    <row r="726" spans="1:1" ht="15.75" customHeight="1" x14ac:dyDescent="0.35">
      <c r="A726" s="6"/>
    </row>
    <row r="727" spans="1:1" ht="15.75" customHeight="1" x14ac:dyDescent="0.35">
      <c r="A727" s="6"/>
    </row>
    <row r="728" spans="1:1" ht="15.75" customHeight="1" x14ac:dyDescent="0.35">
      <c r="A728" s="6"/>
    </row>
    <row r="729" spans="1:1" ht="15.75" customHeight="1" x14ac:dyDescent="0.35">
      <c r="A729" s="6"/>
    </row>
    <row r="730" spans="1:1" ht="15.75" customHeight="1" x14ac:dyDescent="0.35">
      <c r="A730" s="6"/>
    </row>
    <row r="731" spans="1:1" ht="15.75" customHeight="1" x14ac:dyDescent="0.35">
      <c r="A731" s="6"/>
    </row>
    <row r="732" spans="1:1" ht="15.75" customHeight="1" x14ac:dyDescent="0.35">
      <c r="A732" s="6"/>
    </row>
    <row r="733" spans="1:1" ht="15.75" customHeight="1" x14ac:dyDescent="0.35">
      <c r="A733" s="6"/>
    </row>
    <row r="734" spans="1:1" ht="15.75" customHeight="1" x14ac:dyDescent="0.35">
      <c r="A734" s="6"/>
    </row>
    <row r="735" spans="1:1" ht="15.75" customHeight="1" x14ac:dyDescent="0.35">
      <c r="A735" s="6"/>
    </row>
    <row r="736" spans="1:1" ht="15.75" customHeight="1" x14ac:dyDescent="0.35">
      <c r="A736" s="6"/>
    </row>
    <row r="737" spans="1:1" ht="15.75" customHeight="1" x14ac:dyDescent="0.35">
      <c r="A737" s="6"/>
    </row>
    <row r="738" spans="1:1" ht="15.75" customHeight="1" x14ac:dyDescent="0.35">
      <c r="A738" s="6"/>
    </row>
    <row r="739" spans="1:1" ht="15.75" customHeight="1" x14ac:dyDescent="0.35">
      <c r="A739" s="6"/>
    </row>
    <row r="740" spans="1:1" ht="15.75" customHeight="1" x14ac:dyDescent="0.35">
      <c r="A740" s="6"/>
    </row>
    <row r="741" spans="1:1" ht="15.75" customHeight="1" x14ac:dyDescent="0.35">
      <c r="A741" s="6"/>
    </row>
    <row r="742" spans="1:1" ht="15.75" customHeight="1" x14ac:dyDescent="0.35">
      <c r="A742" s="6"/>
    </row>
    <row r="743" spans="1:1" ht="15.75" customHeight="1" x14ac:dyDescent="0.35">
      <c r="A743" s="6"/>
    </row>
    <row r="744" spans="1:1" ht="15.75" customHeight="1" x14ac:dyDescent="0.35">
      <c r="A744" s="6"/>
    </row>
    <row r="745" spans="1:1" ht="15.75" customHeight="1" x14ac:dyDescent="0.35">
      <c r="A745" s="6"/>
    </row>
    <row r="746" spans="1:1" ht="15.75" customHeight="1" x14ac:dyDescent="0.35">
      <c r="A746" s="6"/>
    </row>
    <row r="747" spans="1:1" ht="15.75" customHeight="1" x14ac:dyDescent="0.35">
      <c r="A747" s="6"/>
    </row>
    <row r="748" spans="1:1" ht="15.75" customHeight="1" x14ac:dyDescent="0.35">
      <c r="A748" s="6"/>
    </row>
    <row r="749" spans="1:1" ht="15.75" customHeight="1" x14ac:dyDescent="0.35">
      <c r="A749" s="6"/>
    </row>
    <row r="750" spans="1:1" ht="15.75" customHeight="1" x14ac:dyDescent="0.35">
      <c r="A750" s="6"/>
    </row>
    <row r="751" spans="1:1" ht="15.75" customHeight="1" x14ac:dyDescent="0.35">
      <c r="A751" s="6"/>
    </row>
    <row r="752" spans="1:1" ht="15.75" customHeight="1" x14ac:dyDescent="0.35">
      <c r="A752" s="6"/>
    </row>
    <row r="753" spans="1:1" ht="15.75" customHeight="1" x14ac:dyDescent="0.35">
      <c r="A753" s="6"/>
    </row>
    <row r="754" spans="1:1" ht="15.75" customHeight="1" x14ac:dyDescent="0.35">
      <c r="A754" s="6"/>
    </row>
    <row r="755" spans="1:1" ht="15.75" customHeight="1" x14ac:dyDescent="0.35">
      <c r="A755" s="6"/>
    </row>
    <row r="756" spans="1:1" ht="15.75" customHeight="1" x14ac:dyDescent="0.35">
      <c r="A756" s="6"/>
    </row>
    <row r="757" spans="1:1" ht="15.75" customHeight="1" x14ac:dyDescent="0.35">
      <c r="A757" s="6"/>
    </row>
    <row r="758" spans="1:1" ht="15.75" customHeight="1" x14ac:dyDescent="0.35">
      <c r="A758" s="6"/>
    </row>
    <row r="759" spans="1:1" ht="15.75" customHeight="1" x14ac:dyDescent="0.35">
      <c r="A759" s="6"/>
    </row>
    <row r="760" spans="1:1" ht="15.75" customHeight="1" x14ac:dyDescent="0.35">
      <c r="A760" s="6"/>
    </row>
    <row r="761" spans="1:1" ht="15.75" customHeight="1" x14ac:dyDescent="0.35">
      <c r="A761" s="6"/>
    </row>
    <row r="762" spans="1:1" ht="15.75" customHeight="1" x14ac:dyDescent="0.35">
      <c r="A762" s="6"/>
    </row>
    <row r="763" spans="1:1" ht="15.75" customHeight="1" x14ac:dyDescent="0.35">
      <c r="A763" s="6"/>
    </row>
    <row r="764" spans="1:1" ht="15.75" customHeight="1" x14ac:dyDescent="0.35">
      <c r="A764" s="6"/>
    </row>
    <row r="765" spans="1:1" ht="15.75" customHeight="1" x14ac:dyDescent="0.35">
      <c r="A765" s="6"/>
    </row>
    <row r="766" spans="1:1" ht="15.75" customHeight="1" x14ac:dyDescent="0.35">
      <c r="A766" s="6"/>
    </row>
    <row r="767" spans="1:1" ht="15.75" customHeight="1" x14ac:dyDescent="0.35">
      <c r="A767" s="6"/>
    </row>
    <row r="768" spans="1:1" ht="15.75" customHeight="1" x14ac:dyDescent="0.35">
      <c r="A768" s="6"/>
    </row>
    <row r="769" spans="1:1" ht="15.75" customHeight="1" x14ac:dyDescent="0.35">
      <c r="A769" s="6"/>
    </row>
    <row r="770" spans="1:1" ht="15.75" customHeight="1" x14ac:dyDescent="0.35">
      <c r="A770" s="6"/>
    </row>
    <row r="771" spans="1:1" ht="15.75" customHeight="1" x14ac:dyDescent="0.35">
      <c r="A771" s="6"/>
    </row>
    <row r="772" spans="1:1" ht="15.75" customHeight="1" x14ac:dyDescent="0.35">
      <c r="A772" s="6"/>
    </row>
    <row r="773" spans="1:1" ht="15.75" customHeight="1" x14ac:dyDescent="0.35">
      <c r="A773" s="6"/>
    </row>
    <row r="774" spans="1:1" ht="15.75" customHeight="1" x14ac:dyDescent="0.35">
      <c r="A774" s="6"/>
    </row>
    <row r="775" spans="1:1" ht="15.75" customHeight="1" x14ac:dyDescent="0.35">
      <c r="A775" s="6"/>
    </row>
    <row r="776" spans="1:1" ht="15.75" customHeight="1" x14ac:dyDescent="0.35">
      <c r="A776" s="6"/>
    </row>
    <row r="777" spans="1:1" ht="15.75" customHeight="1" x14ac:dyDescent="0.35">
      <c r="A777" s="6"/>
    </row>
    <row r="778" spans="1:1" ht="15.75" customHeight="1" x14ac:dyDescent="0.35">
      <c r="A778" s="6"/>
    </row>
    <row r="779" spans="1:1" ht="15.75" customHeight="1" x14ac:dyDescent="0.35">
      <c r="A779" s="6"/>
    </row>
    <row r="780" spans="1:1" ht="15.75" customHeight="1" x14ac:dyDescent="0.35">
      <c r="A780" s="6"/>
    </row>
    <row r="781" spans="1:1" ht="15.75" customHeight="1" x14ac:dyDescent="0.35">
      <c r="A781" s="6"/>
    </row>
    <row r="782" spans="1:1" ht="15.75" customHeight="1" x14ac:dyDescent="0.35">
      <c r="A782" s="6"/>
    </row>
    <row r="783" spans="1:1" ht="15.75" customHeight="1" x14ac:dyDescent="0.35">
      <c r="A783" s="6"/>
    </row>
    <row r="784" spans="1:1" ht="15.75" customHeight="1" x14ac:dyDescent="0.35">
      <c r="A784" s="6"/>
    </row>
    <row r="785" spans="1:1" ht="15.75" customHeight="1" x14ac:dyDescent="0.35">
      <c r="A785" s="6"/>
    </row>
    <row r="786" spans="1:1" ht="15.75" customHeight="1" x14ac:dyDescent="0.35">
      <c r="A786" s="6"/>
    </row>
    <row r="787" spans="1:1" ht="15.75" customHeight="1" x14ac:dyDescent="0.35">
      <c r="A787" s="6"/>
    </row>
    <row r="788" spans="1:1" ht="15.75" customHeight="1" x14ac:dyDescent="0.35">
      <c r="A788" s="6"/>
    </row>
    <row r="789" spans="1:1" ht="15.75" customHeight="1" x14ac:dyDescent="0.35">
      <c r="A789" s="6"/>
    </row>
    <row r="790" spans="1:1" ht="15.75" customHeight="1" x14ac:dyDescent="0.35">
      <c r="A790" s="6"/>
    </row>
    <row r="791" spans="1:1" ht="15.75" customHeight="1" x14ac:dyDescent="0.35">
      <c r="A791" s="6"/>
    </row>
    <row r="792" spans="1:1" ht="15.75" customHeight="1" x14ac:dyDescent="0.35">
      <c r="A792" s="6"/>
    </row>
    <row r="793" spans="1:1" ht="15.75" customHeight="1" x14ac:dyDescent="0.35">
      <c r="A793" s="6"/>
    </row>
    <row r="794" spans="1:1" ht="15.75" customHeight="1" x14ac:dyDescent="0.35">
      <c r="A794" s="6"/>
    </row>
    <row r="795" spans="1:1" ht="15.75" customHeight="1" x14ac:dyDescent="0.35">
      <c r="A795" s="6"/>
    </row>
    <row r="796" spans="1:1" ht="15.75" customHeight="1" x14ac:dyDescent="0.35">
      <c r="A796" s="6"/>
    </row>
    <row r="797" spans="1:1" ht="15.75" customHeight="1" x14ac:dyDescent="0.35">
      <c r="A797" s="6"/>
    </row>
    <row r="798" spans="1:1" ht="15.75" customHeight="1" x14ac:dyDescent="0.35">
      <c r="A798" s="6"/>
    </row>
    <row r="799" spans="1:1" ht="15.75" customHeight="1" x14ac:dyDescent="0.35">
      <c r="A799" s="6"/>
    </row>
    <row r="800" spans="1:1" ht="15.75" customHeight="1" x14ac:dyDescent="0.35">
      <c r="A800" s="6"/>
    </row>
    <row r="801" spans="1:1" ht="15.75" customHeight="1" x14ac:dyDescent="0.35">
      <c r="A801" s="6"/>
    </row>
    <row r="802" spans="1:1" ht="15.75" customHeight="1" x14ac:dyDescent="0.35">
      <c r="A802" s="6"/>
    </row>
    <row r="803" spans="1:1" ht="15.75" customHeight="1" x14ac:dyDescent="0.35">
      <c r="A803" s="6"/>
    </row>
    <row r="804" spans="1:1" ht="15.75" customHeight="1" x14ac:dyDescent="0.35">
      <c r="A804" s="6"/>
    </row>
    <row r="805" spans="1:1" ht="15.75" customHeight="1" x14ac:dyDescent="0.35">
      <c r="A805" s="6"/>
    </row>
    <row r="806" spans="1:1" ht="15.75" customHeight="1" x14ac:dyDescent="0.35">
      <c r="A806" s="6"/>
    </row>
    <row r="807" spans="1:1" ht="15.75" customHeight="1" x14ac:dyDescent="0.35">
      <c r="A807" s="6"/>
    </row>
    <row r="808" spans="1:1" ht="15.75" customHeight="1" x14ac:dyDescent="0.35">
      <c r="A808" s="6"/>
    </row>
    <row r="809" spans="1:1" ht="15.75" customHeight="1" x14ac:dyDescent="0.35">
      <c r="A809" s="6"/>
    </row>
    <row r="810" spans="1:1" ht="15.75" customHeight="1" x14ac:dyDescent="0.35">
      <c r="A810" s="6"/>
    </row>
    <row r="811" spans="1:1" ht="15.75" customHeight="1" x14ac:dyDescent="0.35">
      <c r="A811" s="6"/>
    </row>
    <row r="812" spans="1:1" ht="15.75" customHeight="1" x14ac:dyDescent="0.35">
      <c r="A812" s="6"/>
    </row>
    <row r="813" spans="1:1" ht="15.75" customHeight="1" x14ac:dyDescent="0.35">
      <c r="A813" s="6"/>
    </row>
    <row r="814" spans="1:1" ht="15.75" customHeight="1" x14ac:dyDescent="0.35">
      <c r="A814" s="6"/>
    </row>
    <row r="815" spans="1:1" ht="15.75" customHeight="1" x14ac:dyDescent="0.35">
      <c r="A815" s="6"/>
    </row>
    <row r="816" spans="1:1" ht="15.75" customHeight="1" x14ac:dyDescent="0.35">
      <c r="A816" s="6"/>
    </row>
    <row r="817" spans="1:1" ht="15.75" customHeight="1" x14ac:dyDescent="0.35">
      <c r="A817" s="6"/>
    </row>
    <row r="818" spans="1:1" ht="15.75" customHeight="1" x14ac:dyDescent="0.35">
      <c r="A818" s="6"/>
    </row>
    <row r="819" spans="1:1" ht="15.75" customHeight="1" x14ac:dyDescent="0.35">
      <c r="A819" s="6"/>
    </row>
    <row r="820" spans="1:1" ht="15.75" customHeight="1" x14ac:dyDescent="0.35">
      <c r="A820" s="6"/>
    </row>
    <row r="821" spans="1:1" ht="15.75" customHeight="1" x14ac:dyDescent="0.35">
      <c r="A821" s="6"/>
    </row>
    <row r="822" spans="1:1" ht="15.75" customHeight="1" x14ac:dyDescent="0.35">
      <c r="A822" s="6"/>
    </row>
    <row r="823" spans="1:1" ht="15.75" customHeight="1" x14ac:dyDescent="0.35">
      <c r="A823" s="6"/>
    </row>
    <row r="824" spans="1:1" ht="15.75" customHeight="1" x14ac:dyDescent="0.35">
      <c r="A824" s="6"/>
    </row>
    <row r="825" spans="1:1" ht="15.75" customHeight="1" x14ac:dyDescent="0.35">
      <c r="A825" s="6"/>
    </row>
    <row r="826" spans="1:1" ht="15.75" customHeight="1" x14ac:dyDescent="0.35">
      <c r="A826" s="6"/>
    </row>
    <row r="827" spans="1:1" ht="15.75" customHeight="1" x14ac:dyDescent="0.35">
      <c r="A827" s="6"/>
    </row>
    <row r="828" spans="1:1" ht="15.75" customHeight="1" x14ac:dyDescent="0.35">
      <c r="A828" s="6"/>
    </row>
    <row r="829" spans="1:1" ht="15.75" customHeight="1" x14ac:dyDescent="0.35">
      <c r="A829" s="6"/>
    </row>
    <row r="830" spans="1:1" ht="15.75" customHeight="1" x14ac:dyDescent="0.35">
      <c r="A830" s="6"/>
    </row>
    <row r="831" spans="1:1" ht="15.75" customHeight="1" x14ac:dyDescent="0.35">
      <c r="A831" s="6"/>
    </row>
    <row r="832" spans="1:1" ht="15.75" customHeight="1" x14ac:dyDescent="0.35">
      <c r="A832" s="6"/>
    </row>
    <row r="833" spans="1:1" ht="15.75" customHeight="1" x14ac:dyDescent="0.35">
      <c r="A833" s="6"/>
    </row>
    <row r="834" spans="1:1" ht="15.75" customHeight="1" x14ac:dyDescent="0.35">
      <c r="A834" s="6"/>
    </row>
    <row r="835" spans="1:1" ht="15.75" customHeight="1" x14ac:dyDescent="0.35">
      <c r="A835" s="6"/>
    </row>
    <row r="836" spans="1:1" ht="15.75" customHeight="1" x14ac:dyDescent="0.35">
      <c r="A836" s="6"/>
    </row>
    <row r="837" spans="1:1" ht="15.75" customHeight="1" x14ac:dyDescent="0.35">
      <c r="A837" s="6"/>
    </row>
    <row r="838" spans="1:1" ht="15.75" customHeight="1" x14ac:dyDescent="0.35">
      <c r="A838" s="6"/>
    </row>
    <row r="839" spans="1:1" ht="15.75" customHeight="1" x14ac:dyDescent="0.35">
      <c r="A839" s="6"/>
    </row>
    <row r="840" spans="1:1" ht="15.75" customHeight="1" x14ac:dyDescent="0.35">
      <c r="A840" s="6"/>
    </row>
    <row r="841" spans="1:1" ht="15.75" customHeight="1" x14ac:dyDescent="0.35">
      <c r="A841" s="6"/>
    </row>
    <row r="842" spans="1:1" ht="15.75" customHeight="1" x14ac:dyDescent="0.35">
      <c r="A842" s="6"/>
    </row>
    <row r="843" spans="1:1" ht="15.75" customHeight="1" x14ac:dyDescent="0.35">
      <c r="A843" s="6"/>
    </row>
    <row r="844" spans="1:1" ht="15.75" customHeight="1" x14ac:dyDescent="0.35">
      <c r="A844" s="6"/>
    </row>
    <row r="845" spans="1:1" ht="15.75" customHeight="1" x14ac:dyDescent="0.35">
      <c r="A845" s="6"/>
    </row>
    <row r="846" spans="1:1" ht="15.75" customHeight="1" x14ac:dyDescent="0.35">
      <c r="A846" s="6"/>
    </row>
    <row r="847" spans="1:1" ht="15.75" customHeight="1" x14ac:dyDescent="0.35">
      <c r="A847" s="6"/>
    </row>
    <row r="848" spans="1:1" ht="15.75" customHeight="1" x14ac:dyDescent="0.35">
      <c r="A848" s="6"/>
    </row>
    <row r="849" spans="1:1" ht="15.75" customHeight="1" x14ac:dyDescent="0.35">
      <c r="A849" s="6"/>
    </row>
    <row r="850" spans="1:1" ht="15.75" customHeight="1" x14ac:dyDescent="0.35">
      <c r="A850" s="6"/>
    </row>
    <row r="851" spans="1:1" ht="15.75" customHeight="1" x14ac:dyDescent="0.35">
      <c r="A851" s="6"/>
    </row>
    <row r="852" spans="1:1" ht="15.75" customHeight="1" x14ac:dyDescent="0.35">
      <c r="A852" s="6"/>
    </row>
    <row r="853" spans="1:1" ht="15.75" customHeight="1" x14ac:dyDescent="0.35">
      <c r="A853" s="6"/>
    </row>
    <row r="854" spans="1:1" ht="15.75" customHeight="1" x14ac:dyDescent="0.35">
      <c r="A854" s="6"/>
    </row>
    <row r="855" spans="1:1" ht="15.75" customHeight="1" x14ac:dyDescent="0.35">
      <c r="A855" s="6"/>
    </row>
    <row r="856" spans="1:1" ht="15.75" customHeight="1" x14ac:dyDescent="0.35">
      <c r="A856" s="6"/>
    </row>
    <row r="857" spans="1:1" ht="15.75" customHeight="1" x14ac:dyDescent="0.35">
      <c r="A857" s="6"/>
    </row>
    <row r="858" spans="1:1" ht="15.75" customHeight="1" x14ac:dyDescent="0.35">
      <c r="A858" s="6"/>
    </row>
    <row r="859" spans="1:1" ht="15.75" customHeight="1" x14ac:dyDescent="0.35">
      <c r="A859" s="6"/>
    </row>
    <row r="860" spans="1:1" ht="15.75" customHeight="1" x14ac:dyDescent="0.35">
      <c r="A860" s="6"/>
    </row>
    <row r="861" spans="1:1" ht="15.75" customHeight="1" x14ac:dyDescent="0.35">
      <c r="A861" s="6"/>
    </row>
    <row r="862" spans="1:1" ht="15.75" customHeight="1" x14ac:dyDescent="0.35">
      <c r="A862" s="6"/>
    </row>
    <row r="863" spans="1:1" ht="15.75" customHeight="1" x14ac:dyDescent="0.35">
      <c r="A863" s="6"/>
    </row>
    <row r="864" spans="1:1" ht="15.75" customHeight="1" x14ac:dyDescent="0.35">
      <c r="A864" s="6"/>
    </row>
    <row r="865" spans="1:1" ht="15.75" customHeight="1" x14ac:dyDescent="0.35">
      <c r="A865" s="6"/>
    </row>
    <row r="866" spans="1:1" ht="15.75" customHeight="1" x14ac:dyDescent="0.35">
      <c r="A866" s="6"/>
    </row>
    <row r="867" spans="1:1" ht="15.75" customHeight="1" x14ac:dyDescent="0.35">
      <c r="A867" s="6"/>
    </row>
    <row r="868" spans="1:1" ht="15.75" customHeight="1" x14ac:dyDescent="0.35">
      <c r="A868" s="6"/>
    </row>
    <row r="869" spans="1:1" ht="15.75" customHeight="1" x14ac:dyDescent="0.35">
      <c r="A869" s="6"/>
    </row>
    <row r="870" spans="1:1" ht="15.75" customHeight="1" x14ac:dyDescent="0.35">
      <c r="A870" s="6"/>
    </row>
    <row r="871" spans="1:1" ht="15.75" customHeight="1" x14ac:dyDescent="0.35">
      <c r="A871" s="6"/>
    </row>
    <row r="872" spans="1:1" ht="15.75" customHeight="1" x14ac:dyDescent="0.35">
      <c r="A872" s="6"/>
    </row>
    <row r="873" spans="1:1" ht="15.75" customHeight="1" x14ac:dyDescent="0.35">
      <c r="A873" s="6"/>
    </row>
    <row r="874" spans="1:1" ht="15.75" customHeight="1" x14ac:dyDescent="0.35">
      <c r="A874" s="6"/>
    </row>
    <row r="875" spans="1:1" ht="15.75" customHeight="1" x14ac:dyDescent="0.35">
      <c r="A875" s="6"/>
    </row>
    <row r="876" spans="1:1" ht="15.75" customHeight="1" x14ac:dyDescent="0.35">
      <c r="A876" s="6"/>
    </row>
    <row r="877" spans="1:1" ht="15.75" customHeight="1" x14ac:dyDescent="0.35">
      <c r="A877" s="6"/>
    </row>
    <row r="878" spans="1:1" ht="15.75" customHeight="1" x14ac:dyDescent="0.35">
      <c r="A878" s="6"/>
    </row>
    <row r="879" spans="1:1" ht="15.75" customHeight="1" x14ac:dyDescent="0.35">
      <c r="A879" s="6"/>
    </row>
    <row r="880" spans="1:1" ht="15.75" customHeight="1" x14ac:dyDescent="0.35">
      <c r="A880" s="6"/>
    </row>
    <row r="881" spans="1:1" ht="15.75" customHeight="1" x14ac:dyDescent="0.35">
      <c r="A881" s="6"/>
    </row>
    <row r="882" spans="1:1" ht="15.75" customHeight="1" x14ac:dyDescent="0.35">
      <c r="A882" s="6"/>
    </row>
    <row r="883" spans="1:1" ht="15.75" customHeight="1" x14ac:dyDescent="0.35">
      <c r="A883" s="6"/>
    </row>
    <row r="884" spans="1:1" ht="15.75" customHeight="1" x14ac:dyDescent="0.35">
      <c r="A884" s="6"/>
    </row>
    <row r="885" spans="1:1" ht="15.75" customHeight="1" x14ac:dyDescent="0.35">
      <c r="A885" s="6"/>
    </row>
    <row r="886" spans="1:1" ht="15.75" customHeight="1" x14ac:dyDescent="0.35">
      <c r="A886" s="6"/>
    </row>
    <row r="887" spans="1:1" ht="15.75" customHeight="1" x14ac:dyDescent="0.35">
      <c r="A887" s="6"/>
    </row>
    <row r="888" spans="1:1" ht="15.75" customHeight="1" x14ac:dyDescent="0.35">
      <c r="A888" s="6"/>
    </row>
    <row r="889" spans="1:1" ht="15.75" customHeight="1" x14ac:dyDescent="0.35">
      <c r="A889" s="6"/>
    </row>
    <row r="890" spans="1:1" ht="15.75" customHeight="1" x14ac:dyDescent="0.35">
      <c r="A890" s="6"/>
    </row>
    <row r="891" spans="1:1" ht="15.75" customHeight="1" x14ac:dyDescent="0.35">
      <c r="A891" s="6"/>
    </row>
    <row r="892" spans="1:1" ht="15.75" customHeight="1" x14ac:dyDescent="0.35">
      <c r="A892" s="6"/>
    </row>
    <row r="893" spans="1:1" ht="15.75" customHeight="1" x14ac:dyDescent="0.35">
      <c r="A893" s="6"/>
    </row>
    <row r="894" spans="1:1" ht="15.75" customHeight="1" x14ac:dyDescent="0.35">
      <c r="A894" s="6"/>
    </row>
    <row r="895" spans="1:1" ht="15.75" customHeight="1" x14ac:dyDescent="0.35">
      <c r="A895" s="6"/>
    </row>
    <row r="896" spans="1:1" ht="15.75" customHeight="1" x14ac:dyDescent="0.35">
      <c r="A896" s="6"/>
    </row>
    <row r="897" spans="1:1" ht="15.75" customHeight="1" x14ac:dyDescent="0.35">
      <c r="A897" s="6"/>
    </row>
    <row r="898" spans="1:1" ht="15.75" customHeight="1" x14ac:dyDescent="0.35">
      <c r="A898" s="6"/>
    </row>
    <row r="899" spans="1:1" ht="15.75" customHeight="1" x14ac:dyDescent="0.35">
      <c r="A899" s="6"/>
    </row>
    <row r="900" spans="1:1" ht="15.75" customHeight="1" x14ac:dyDescent="0.35">
      <c r="A900" s="6"/>
    </row>
    <row r="901" spans="1:1" ht="15.75" customHeight="1" x14ac:dyDescent="0.35">
      <c r="A901" s="6"/>
    </row>
    <row r="902" spans="1:1" ht="15.75" customHeight="1" x14ac:dyDescent="0.35">
      <c r="A902" s="6"/>
    </row>
    <row r="903" spans="1:1" ht="15.75" customHeight="1" x14ac:dyDescent="0.35">
      <c r="A903" s="6"/>
    </row>
    <row r="904" spans="1:1" ht="15.75" customHeight="1" x14ac:dyDescent="0.35">
      <c r="A904" s="6"/>
    </row>
    <row r="905" spans="1:1" ht="15.75" customHeight="1" x14ac:dyDescent="0.35">
      <c r="A905" s="6"/>
    </row>
    <row r="906" spans="1:1" ht="15.75" customHeight="1" x14ac:dyDescent="0.35">
      <c r="A906" s="6"/>
    </row>
    <row r="907" spans="1:1" ht="15.75" customHeight="1" x14ac:dyDescent="0.35">
      <c r="A907" s="6"/>
    </row>
    <row r="908" spans="1:1" ht="15.75" customHeight="1" x14ac:dyDescent="0.35">
      <c r="A908" s="6"/>
    </row>
    <row r="909" spans="1:1" ht="15.75" customHeight="1" x14ac:dyDescent="0.35">
      <c r="A909" s="6"/>
    </row>
    <row r="910" spans="1:1" ht="15.75" customHeight="1" x14ac:dyDescent="0.35">
      <c r="A910" s="6"/>
    </row>
    <row r="911" spans="1:1" ht="15.75" customHeight="1" x14ac:dyDescent="0.35">
      <c r="A911" s="6"/>
    </row>
    <row r="912" spans="1:1" ht="15.75" customHeight="1" x14ac:dyDescent="0.35">
      <c r="A912" s="6"/>
    </row>
    <row r="913" spans="1:1" ht="15.75" customHeight="1" x14ac:dyDescent="0.35">
      <c r="A913" s="6"/>
    </row>
    <row r="914" spans="1:1" ht="15.75" customHeight="1" x14ac:dyDescent="0.35">
      <c r="A914" s="6"/>
    </row>
    <row r="915" spans="1:1" ht="15.75" customHeight="1" x14ac:dyDescent="0.35">
      <c r="A915" s="6"/>
    </row>
    <row r="916" spans="1:1" ht="15.75" customHeight="1" x14ac:dyDescent="0.35">
      <c r="A916" s="6"/>
    </row>
    <row r="917" spans="1:1" ht="15.75" customHeight="1" x14ac:dyDescent="0.35">
      <c r="A917" s="6"/>
    </row>
    <row r="918" spans="1:1" ht="15.75" customHeight="1" x14ac:dyDescent="0.35">
      <c r="A918" s="6"/>
    </row>
    <row r="919" spans="1:1" ht="15.75" customHeight="1" x14ac:dyDescent="0.35">
      <c r="A919" s="6"/>
    </row>
    <row r="920" spans="1:1" ht="15.75" customHeight="1" x14ac:dyDescent="0.35">
      <c r="A920" s="6"/>
    </row>
    <row r="921" spans="1:1" ht="15.75" customHeight="1" x14ac:dyDescent="0.35">
      <c r="A921" s="6"/>
    </row>
    <row r="922" spans="1:1" ht="15.75" customHeight="1" x14ac:dyDescent="0.35">
      <c r="A922" s="6"/>
    </row>
    <row r="923" spans="1:1" ht="15.75" customHeight="1" x14ac:dyDescent="0.35">
      <c r="A923" s="6"/>
    </row>
    <row r="924" spans="1:1" ht="15.75" customHeight="1" x14ac:dyDescent="0.35">
      <c r="A924" s="6"/>
    </row>
    <row r="925" spans="1:1" ht="15.75" customHeight="1" x14ac:dyDescent="0.35">
      <c r="A925" s="6"/>
    </row>
    <row r="926" spans="1:1" ht="15.75" customHeight="1" x14ac:dyDescent="0.35">
      <c r="A926" s="6"/>
    </row>
    <row r="927" spans="1:1" ht="15.75" customHeight="1" x14ac:dyDescent="0.35">
      <c r="A927" s="6"/>
    </row>
    <row r="928" spans="1:1" ht="15.75" customHeight="1" x14ac:dyDescent="0.35">
      <c r="A928" s="6"/>
    </row>
    <row r="929" spans="1:1" ht="15.75" customHeight="1" x14ac:dyDescent="0.35">
      <c r="A929" s="6"/>
    </row>
    <row r="930" spans="1:1" ht="15.75" customHeight="1" x14ac:dyDescent="0.35">
      <c r="A930" s="6"/>
    </row>
    <row r="931" spans="1:1" ht="15.75" customHeight="1" x14ac:dyDescent="0.35">
      <c r="A931" s="6"/>
    </row>
    <row r="932" spans="1:1" ht="15.75" customHeight="1" x14ac:dyDescent="0.35">
      <c r="A932" s="6"/>
    </row>
    <row r="933" spans="1:1" ht="15.75" customHeight="1" x14ac:dyDescent="0.35">
      <c r="A933" s="6"/>
    </row>
    <row r="934" spans="1:1" ht="15.75" customHeight="1" x14ac:dyDescent="0.35">
      <c r="A934" s="6"/>
    </row>
    <row r="935" spans="1:1" ht="15.75" customHeight="1" x14ac:dyDescent="0.35">
      <c r="A935" s="6"/>
    </row>
    <row r="936" spans="1:1" ht="15.75" customHeight="1" x14ac:dyDescent="0.35">
      <c r="A936" s="6"/>
    </row>
    <row r="937" spans="1:1" ht="15.75" customHeight="1" x14ac:dyDescent="0.35">
      <c r="A937" s="6"/>
    </row>
    <row r="938" spans="1:1" ht="15.75" customHeight="1" x14ac:dyDescent="0.35">
      <c r="A938" s="6"/>
    </row>
    <row r="939" spans="1:1" ht="15.75" customHeight="1" x14ac:dyDescent="0.35">
      <c r="A939" s="6"/>
    </row>
    <row r="940" spans="1:1" ht="15.75" customHeight="1" x14ac:dyDescent="0.35">
      <c r="A940" s="6"/>
    </row>
    <row r="941" spans="1:1" ht="15.75" customHeight="1" x14ac:dyDescent="0.35">
      <c r="A941" s="6"/>
    </row>
    <row r="942" spans="1:1" ht="15.75" customHeight="1" x14ac:dyDescent="0.35">
      <c r="A942" s="6"/>
    </row>
    <row r="943" spans="1:1" ht="15.75" customHeight="1" x14ac:dyDescent="0.35">
      <c r="A943" s="6"/>
    </row>
    <row r="944" spans="1:1" ht="15.75" customHeight="1" x14ac:dyDescent="0.35">
      <c r="A944" s="6"/>
    </row>
    <row r="945" spans="1:1" ht="15.75" customHeight="1" x14ac:dyDescent="0.35">
      <c r="A945" s="6"/>
    </row>
    <row r="946" spans="1:1" ht="15.75" customHeight="1" x14ac:dyDescent="0.35">
      <c r="A946" s="6"/>
    </row>
    <row r="947" spans="1:1" ht="15.75" customHeight="1" x14ac:dyDescent="0.35">
      <c r="A947" s="6"/>
    </row>
    <row r="948" spans="1:1" ht="15.75" customHeight="1" x14ac:dyDescent="0.35">
      <c r="A948" s="6"/>
    </row>
    <row r="949" spans="1:1" ht="15.75" customHeight="1" x14ac:dyDescent="0.35">
      <c r="A949" s="6"/>
    </row>
    <row r="950" spans="1:1" ht="15.75" customHeight="1" x14ac:dyDescent="0.35">
      <c r="A950" s="6"/>
    </row>
    <row r="951" spans="1:1" ht="15.75" customHeight="1" x14ac:dyDescent="0.35">
      <c r="A951" s="6"/>
    </row>
    <row r="952" spans="1:1" ht="15.75" customHeight="1" x14ac:dyDescent="0.35">
      <c r="A952" s="6"/>
    </row>
    <row r="953" spans="1:1" ht="15.75" customHeight="1" x14ac:dyDescent="0.35">
      <c r="A953" s="6"/>
    </row>
    <row r="954" spans="1:1" ht="15.75" customHeight="1" x14ac:dyDescent="0.35">
      <c r="A954" s="6"/>
    </row>
    <row r="955" spans="1:1" ht="15.75" customHeight="1" x14ac:dyDescent="0.35">
      <c r="A955" s="6"/>
    </row>
    <row r="956" spans="1:1" ht="15.75" customHeight="1" x14ac:dyDescent="0.35">
      <c r="A956" s="6"/>
    </row>
    <row r="957" spans="1:1" ht="15.75" customHeight="1" x14ac:dyDescent="0.35">
      <c r="A957" s="6"/>
    </row>
    <row r="958" spans="1:1" ht="15.75" customHeight="1" x14ac:dyDescent="0.35">
      <c r="A958" s="6"/>
    </row>
    <row r="959" spans="1:1" ht="15.75" customHeight="1" x14ac:dyDescent="0.35">
      <c r="A959" s="6"/>
    </row>
    <row r="960" spans="1:1" ht="15.75" customHeight="1" x14ac:dyDescent="0.35">
      <c r="A960" s="6"/>
    </row>
    <row r="961" spans="1:1" ht="15.75" customHeight="1" x14ac:dyDescent="0.35">
      <c r="A961" s="6"/>
    </row>
    <row r="962" spans="1:1" ht="15.75" customHeight="1" x14ac:dyDescent="0.35">
      <c r="A962" s="6"/>
    </row>
    <row r="963" spans="1:1" ht="15.75" customHeight="1" x14ac:dyDescent="0.35">
      <c r="A963" s="6"/>
    </row>
    <row r="964" spans="1:1" ht="15.75" customHeight="1" x14ac:dyDescent="0.35">
      <c r="A964" s="6"/>
    </row>
    <row r="965" spans="1:1" ht="15.75" customHeight="1" x14ac:dyDescent="0.35">
      <c r="A965" s="6"/>
    </row>
    <row r="966" spans="1:1" ht="15.75" customHeight="1" x14ac:dyDescent="0.35">
      <c r="A966" s="6"/>
    </row>
    <row r="967" spans="1:1" ht="15.75" customHeight="1" x14ac:dyDescent="0.35">
      <c r="A967" s="6"/>
    </row>
    <row r="968" spans="1:1" ht="15.75" customHeight="1" x14ac:dyDescent="0.35">
      <c r="A968" s="6"/>
    </row>
    <row r="969" spans="1:1" ht="15.75" customHeight="1" x14ac:dyDescent="0.35">
      <c r="A969" s="6"/>
    </row>
    <row r="970" spans="1:1" ht="15.75" customHeight="1" x14ac:dyDescent="0.35">
      <c r="A970" s="6"/>
    </row>
    <row r="971" spans="1:1" ht="15.75" customHeight="1" x14ac:dyDescent="0.35">
      <c r="A971" s="6"/>
    </row>
    <row r="972" spans="1:1" ht="15.75" customHeight="1" x14ac:dyDescent="0.35">
      <c r="A972" s="6"/>
    </row>
    <row r="973" spans="1:1" ht="15.75" customHeight="1" x14ac:dyDescent="0.35">
      <c r="A973" s="6"/>
    </row>
    <row r="974" spans="1:1" ht="15.75" customHeight="1" x14ac:dyDescent="0.35">
      <c r="A974" s="6"/>
    </row>
    <row r="975" spans="1:1" ht="15.75" customHeight="1" x14ac:dyDescent="0.35">
      <c r="A975" s="6"/>
    </row>
    <row r="976" spans="1:1" ht="15.75" customHeight="1" x14ac:dyDescent="0.35">
      <c r="A976" s="6"/>
    </row>
    <row r="977" spans="1:1" ht="15.75" customHeight="1" x14ac:dyDescent="0.35">
      <c r="A977" s="6"/>
    </row>
    <row r="978" spans="1:1" ht="15.75" customHeight="1" x14ac:dyDescent="0.35">
      <c r="A978" s="6"/>
    </row>
    <row r="979" spans="1:1" ht="15.75" customHeight="1" x14ac:dyDescent="0.35">
      <c r="A979" s="6"/>
    </row>
    <row r="980" spans="1:1" ht="15.75" customHeight="1" x14ac:dyDescent="0.35">
      <c r="A980" s="6"/>
    </row>
    <row r="981" spans="1:1" ht="15.75" customHeight="1" x14ac:dyDescent="0.35">
      <c r="A981" s="6"/>
    </row>
    <row r="982" spans="1:1" ht="15.75" customHeight="1" x14ac:dyDescent="0.35">
      <c r="A982" s="6"/>
    </row>
    <row r="983" spans="1:1" ht="15.75" customHeight="1" x14ac:dyDescent="0.35">
      <c r="A983" s="6"/>
    </row>
    <row r="984" spans="1:1" ht="15.75" customHeight="1" x14ac:dyDescent="0.35">
      <c r="A984" s="6"/>
    </row>
    <row r="985" spans="1:1" ht="15.75" customHeight="1" x14ac:dyDescent="0.35">
      <c r="A985" s="6"/>
    </row>
    <row r="986" spans="1:1" ht="15.75" customHeight="1" x14ac:dyDescent="0.35">
      <c r="A986" s="6"/>
    </row>
    <row r="987" spans="1:1" ht="15.75" customHeight="1" x14ac:dyDescent="0.35">
      <c r="A987" s="6"/>
    </row>
    <row r="988" spans="1:1" ht="15.75" customHeight="1" x14ac:dyDescent="0.35">
      <c r="A988" s="6"/>
    </row>
    <row r="989" spans="1:1" ht="15.75" customHeight="1" x14ac:dyDescent="0.35">
      <c r="A989" s="6"/>
    </row>
    <row r="990" spans="1:1" ht="15.75" customHeight="1" x14ac:dyDescent="0.35">
      <c r="A990" s="6"/>
    </row>
    <row r="991" spans="1:1" ht="15.75" customHeight="1" x14ac:dyDescent="0.35">
      <c r="A991" s="6"/>
    </row>
    <row r="992" spans="1:1" ht="15.75" customHeight="1" x14ac:dyDescent="0.35">
      <c r="A992" s="6"/>
    </row>
    <row r="993" spans="1:1" ht="15.75" customHeight="1" x14ac:dyDescent="0.35">
      <c r="A993" s="6"/>
    </row>
    <row r="994" spans="1:1" ht="15.75" customHeight="1" x14ac:dyDescent="0.35">
      <c r="A994" s="6"/>
    </row>
    <row r="995" spans="1:1" ht="15.75" customHeight="1" x14ac:dyDescent="0.35">
      <c r="A995" s="6"/>
    </row>
    <row r="996" spans="1:1" ht="15.75" customHeight="1" x14ac:dyDescent="0.35">
      <c r="A996" s="6"/>
    </row>
    <row r="997" spans="1:1" ht="15.75" customHeight="1" x14ac:dyDescent="0.35">
      <c r="A997" s="6"/>
    </row>
    <row r="998" spans="1:1" ht="15.75" customHeight="1" x14ac:dyDescent="0.35">
      <c r="A998" s="6"/>
    </row>
    <row r="999" spans="1:1" ht="15.75" customHeight="1" x14ac:dyDescent="0.35">
      <c r="A999" s="6"/>
    </row>
    <row r="1000" spans="1:1" ht="15.75" customHeight="1" x14ac:dyDescent="0.35">
      <c r="A1000" s="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53125" defaultRowHeight="15" customHeight="1" x14ac:dyDescent="0.35"/>
  <cols>
    <col min="1" max="1" width="11.453125" customWidth="1"/>
    <col min="2" max="2" width="15.08984375" customWidth="1"/>
    <col min="3" max="4" width="16.81640625" customWidth="1"/>
    <col min="5" max="5" width="13" customWidth="1"/>
    <col min="6" max="6" width="9.54296875" customWidth="1"/>
    <col min="7" max="7" width="8.7265625" customWidth="1"/>
    <col min="8" max="8" width="7" customWidth="1"/>
    <col min="9" max="9" width="10.81640625" customWidth="1"/>
    <col min="10" max="10" width="20.81640625" customWidth="1"/>
    <col min="11" max="28" width="8.7265625" customWidth="1"/>
  </cols>
  <sheetData>
    <row r="1" spans="1:10" ht="29" x14ac:dyDescent="0.35">
      <c r="A1" s="7" t="s">
        <v>61</v>
      </c>
      <c r="B1" s="7" t="s">
        <v>27</v>
      </c>
      <c r="C1" s="7" t="s">
        <v>62</v>
      </c>
      <c r="D1" s="7" t="s">
        <v>63</v>
      </c>
      <c r="E1" s="7" t="s">
        <v>0</v>
      </c>
      <c r="F1" s="7" t="s">
        <v>1</v>
      </c>
      <c r="G1" s="7" t="s">
        <v>64</v>
      </c>
      <c r="H1" s="7" t="s">
        <v>65</v>
      </c>
      <c r="I1" s="7" t="s">
        <v>66</v>
      </c>
      <c r="J1" s="7" t="s">
        <v>67</v>
      </c>
    </row>
    <row r="2" spans="1:10" ht="14.5" x14ac:dyDescent="0.35">
      <c r="A2" s="2" t="s">
        <v>68</v>
      </c>
      <c r="B2" s="8">
        <v>45695</v>
      </c>
      <c r="C2" s="2" t="s">
        <v>69</v>
      </c>
      <c r="D2" s="2" t="s">
        <v>70</v>
      </c>
      <c r="E2" s="2" t="s">
        <v>8</v>
      </c>
      <c r="F2" s="2" t="s">
        <v>9</v>
      </c>
      <c r="G2" s="9">
        <v>392.16</v>
      </c>
      <c r="H2" s="9">
        <v>12.5</v>
      </c>
      <c r="I2" s="9">
        <f t="shared" ref="I2:I6" si="0">G2*H2</f>
        <v>4902</v>
      </c>
      <c r="J2" s="2" t="s">
        <v>71</v>
      </c>
    </row>
    <row r="3" spans="1:10" ht="14.5" x14ac:dyDescent="0.35">
      <c r="A3" s="2" t="s">
        <v>72</v>
      </c>
      <c r="B3" s="10">
        <v>45723</v>
      </c>
      <c r="C3" s="2" t="s">
        <v>73</v>
      </c>
      <c r="D3" s="2" t="s">
        <v>74</v>
      </c>
      <c r="E3" s="2" t="s">
        <v>8</v>
      </c>
      <c r="F3" s="2" t="s">
        <v>9</v>
      </c>
      <c r="G3" s="9">
        <v>346.08</v>
      </c>
      <c r="H3" s="9">
        <v>12.5</v>
      </c>
      <c r="I3" s="9">
        <f t="shared" si="0"/>
        <v>4326</v>
      </c>
      <c r="J3" s="2" t="s">
        <v>71</v>
      </c>
    </row>
    <row r="4" spans="1:10" ht="14.5" x14ac:dyDescent="0.35">
      <c r="A4" s="2" t="s">
        <v>72</v>
      </c>
      <c r="B4" s="10">
        <v>45907</v>
      </c>
      <c r="C4" s="2" t="s">
        <v>73</v>
      </c>
      <c r="D4" s="2" t="s">
        <v>74</v>
      </c>
      <c r="E4" s="2" t="s">
        <v>8</v>
      </c>
      <c r="F4" s="2" t="s">
        <v>9</v>
      </c>
      <c r="G4" s="9">
        <v>346.82</v>
      </c>
      <c r="H4" s="9">
        <v>13.2</v>
      </c>
      <c r="I4" s="11">
        <f t="shared" si="0"/>
        <v>4578.0239999999994</v>
      </c>
      <c r="J4" s="2" t="s">
        <v>71</v>
      </c>
    </row>
    <row r="5" spans="1:10" ht="14.5" x14ac:dyDescent="0.35">
      <c r="A5" s="2" t="s">
        <v>75</v>
      </c>
      <c r="B5" s="12" t="s">
        <v>52</v>
      </c>
      <c r="C5" s="2" t="s">
        <v>76</v>
      </c>
      <c r="D5" s="2" t="s">
        <v>77</v>
      </c>
      <c r="E5" s="2" t="s">
        <v>8</v>
      </c>
      <c r="F5" s="2" t="s">
        <v>9</v>
      </c>
      <c r="G5" s="9">
        <v>687.54</v>
      </c>
      <c r="H5" s="9">
        <v>14.2</v>
      </c>
      <c r="I5" s="11">
        <f t="shared" si="0"/>
        <v>9763.0679999999993</v>
      </c>
      <c r="J5" s="2" t="s">
        <v>71</v>
      </c>
    </row>
    <row r="6" spans="1:10" ht="14.5" x14ac:dyDescent="0.35">
      <c r="A6" s="2" t="s">
        <v>78</v>
      </c>
      <c r="B6" s="12" t="s">
        <v>59</v>
      </c>
      <c r="C6" s="13" t="s">
        <v>79</v>
      </c>
      <c r="D6" s="2" t="s">
        <v>80</v>
      </c>
      <c r="E6" s="2" t="s">
        <v>8</v>
      </c>
      <c r="F6" s="2" t="s">
        <v>9</v>
      </c>
      <c r="G6" s="9">
        <v>180</v>
      </c>
      <c r="H6" s="9">
        <v>14.2</v>
      </c>
      <c r="I6" s="9">
        <f t="shared" si="0"/>
        <v>2556</v>
      </c>
      <c r="J6" s="2" t="s">
        <v>71</v>
      </c>
    </row>
    <row r="7" spans="1:10" ht="14.5" x14ac:dyDescent="0.35">
      <c r="D7" s="2"/>
      <c r="G7" s="9"/>
      <c r="H7" s="9"/>
      <c r="I7" s="9"/>
    </row>
    <row r="8" spans="1:10" ht="14.5" x14ac:dyDescent="0.35">
      <c r="G8" s="9"/>
      <c r="H8" s="9"/>
      <c r="I8" s="9"/>
    </row>
    <row r="9" spans="1:10" ht="14.5" x14ac:dyDescent="0.35">
      <c r="G9" s="9"/>
      <c r="H9" s="9"/>
      <c r="I9" s="9"/>
    </row>
    <row r="10" spans="1:10" ht="14.5" x14ac:dyDescent="0.35">
      <c r="G10" s="9"/>
      <c r="H10" s="9"/>
      <c r="I10" s="9"/>
    </row>
    <row r="11" spans="1:10" ht="14.5" x14ac:dyDescent="0.35">
      <c r="G11" s="9"/>
      <c r="H11" s="9"/>
      <c r="I11" s="9"/>
    </row>
    <row r="12" spans="1:10" ht="14.5" x14ac:dyDescent="0.35">
      <c r="G12" s="9"/>
      <c r="H12" s="9"/>
      <c r="I12" s="9"/>
    </row>
    <row r="13" spans="1:10" ht="14.5" x14ac:dyDescent="0.35">
      <c r="G13" s="9"/>
      <c r="H13" s="9"/>
      <c r="I13" s="9"/>
    </row>
    <row r="14" spans="1:10" ht="14.5" x14ac:dyDescent="0.35">
      <c r="G14" s="9"/>
      <c r="H14" s="9"/>
      <c r="I14" s="9"/>
    </row>
    <row r="15" spans="1:10" ht="14.5" x14ac:dyDescent="0.35">
      <c r="G15" s="9"/>
      <c r="H15" s="9"/>
      <c r="I15" s="9"/>
    </row>
    <row r="16" spans="1:10" ht="14.5" x14ac:dyDescent="0.35">
      <c r="C16" s="13"/>
      <c r="G16" s="9"/>
      <c r="H16" s="9"/>
      <c r="I16" s="9"/>
    </row>
    <row r="17" spans="3:9" ht="14.5" x14ac:dyDescent="0.35">
      <c r="C17" s="13"/>
      <c r="G17" s="9"/>
      <c r="H17" s="9"/>
      <c r="I17" s="9"/>
    </row>
    <row r="18" spans="3:9" ht="14.5" x14ac:dyDescent="0.35">
      <c r="G18" s="9"/>
      <c r="H18" s="9"/>
      <c r="I18" s="9"/>
    </row>
    <row r="19" spans="3:9" ht="14.5" x14ac:dyDescent="0.35">
      <c r="C19" s="13"/>
      <c r="G19" s="9"/>
      <c r="H19" s="9"/>
      <c r="I19" s="9"/>
    </row>
    <row r="20" spans="3:9" ht="14.5" x14ac:dyDescent="0.35">
      <c r="C20" s="13"/>
      <c r="G20" s="9"/>
      <c r="H20" s="9"/>
      <c r="I20" s="9"/>
    </row>
    <row r="21" spans="3:9" ht="15.75" customHeight="1" x14ac:dyDescent="0.35">
      <c r="G21" s="9"/>
      <c r="H21" s="9"/>
      <c r="I21" s="9"/>
    </row>
    <row r="22" spans="3:9" ht="15.75" customHeight="1" x14ac:dyDescent="0.35"/>
    <row r="23" spans="3:9" ht="15.75" customHeight="1" x14ac:dyDescent="0.35"/>
    <row r="24" spans="3:9" ht="15.75" customHeight="1" x14ac:dyDescent="0.35"/>
    <row r="25" spans="3:9" ht="15.75" customHeight="1" x14ac:dyDescent="0.35"/>
    <row r="26" spans="3:9" ht="15.75" customHeight="1" x14ac:dyDescent="0.35"/>
    <row r="27" spans="3:9" ht="15.75" customHeight="1" x14ac:dyDescent="0.35"/>
    <row r="28" spans="3:9" ht="15.75" customHeight="1" x14ac:dyDescent="0.35"/>
    <row r="29" spans="3:9" ht="15.75" customHeight="1" x14ac:dyDescent="0.35"/>
    <row r="30" spans="3:9" ht="15.75" customHeight="1" x14ac:dyDescent="0.35"/>
    <row r="31" spans="3:9" ht="15.75" customHeight="1" x14ac:dyDescent="0.35"/>
    <row r="32" spans="3: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0"/>
  <sheetViews>
    <sheetView workbookViewId="0"/>
  </sheetViews>
  <sheetFormatPr defaultColWidth="14.453125" defaultRowHeight="15" customHeight="1" x14ac:dyDescent="0.35"/>
  <cols>
    <col min="1" max="1" width="11.453125" customWidth="1"/>
    <col min="2" max="2" width="15.08984375" customWidth="1"/>
    <col min="3" max="3" width="16.81640625" customWidth="1"/>
    <col min="4" max="4" width="13.453125" customWidth="1"/>
    <col min="5" max="5" width="13" customWidth="1"/>
    <col min="6" max="6" width="9.54296875" customWidth="1"/>
    <col min="7" max="7" width="8.7265625" customWidth="1"/>
    <col min="8" max="8" width="7" customWidth="1"/>
    <col min="9" max="9" width="10.81640625" customWidth="1"/>
    <col min="10" max="10" width="20.81640625" customWidth="1"/>
    <col min="11" max="28" width="8.7265625" customWidth="1"/>
  </cols>
  <sheetData>
    <row r="1" spans="1:10" ht="29" x14ac:dyDescent="0.35">
      <c r="A1" s="7" t="s">
        <v>61</v>
      </c>
      <c r="B1" s="7" t="s">
        <v>27</v>
      </c>
      <c r="C1" s="7" t="s">
        <v>62</v>
      </c>
      <c r="D1" s="7" t="s">
        <v>81</v>
      </c>
      <c r="E1" s="7" t="s">
        <v>0</v>
      </c>
      <c r="F1" s="7" t="s">
        <v>1</v>
      </c>
      <c r="G1" s="7" t="s">
        <v>64</v>
      </c>
      <c r="H1" s="7" t="s">
        <v>65</v>
      </c>
      <c r="I1" s="7" t="s">
        <v>66</v>
      </c>
      <c r="J1" s="7" t="s">
        <v>67</v>
      </c>
    </row>
    <row r="2" spans="1:10" ht="14.5" x14ac:dyDescent="0.35">
      <c r="A2" s="2" t="s">
        <v>82</v>
      </c>
      <c r="B2" s="8">
        <v>45695</v>
      </c>
      <c r="C2" s="2" t="s">
        <v>83</v>
      </c>
      <c r="D2" s="2" t="s">
        <v>84</v>
      </c>
      <c r="E2" s="2" t="s">
        <v>8</v>
      </c>
      <c r="F2" s="2" t="s">
        <v>9</v>
      </c>
      <c r="G2" s="9">
        <v>72</v>
      </c>
      <c r="H2" s="9">
        <v>12.5</v>
      </c>
      <c r="I2" s="9">
        <f t="shared" ref="I2:I4" si="0">G2*H2</f>
        <v>900</v>
      </c>
      <c r="J2" s="2" t="s">
        <v>85</v>
      </c>
    </row>
    <row r="3" spans="1:10" ht="14.5" x14ac:dyDescent="0.35">
      <c r="A3" s="2" t="s">
        <v>82</v>
      </c>
      <c r="B3" s="10">
        <v>45845</v>
      </c>
      <c r="C3" s="2" t="s">
        <v>83</v>
      </c>
      <c r="D3" s="2" t="s">
        <v>84</v>
      </c>
      <c r="E3" s="2" t="s">
        <v>8</v>
      </c>
      <c r="F3" s="2" t="s">
        <v>9</v>
      </c>
      <c r="G3" s="9">
        <v>69.290000000000006</v>
      </c>
      <c r="H3" s="9">
        <v>12.99</v>
      </c>
      <c r="I3" s="11">
        <f t="shared" si="0"/>
        <v>900.07710000000009</v>
      </c>
      <c r="J3" s="2" t="s">
        <v>85</v>
      </c>
    </row>
    <row r="4" spans="1:10" ht="14.5" x14ac:dyDescent="0.35">
      <c r="A4" s="2" t="s">
        <v>82</v>
      </c>
      <c r="B4" s="12" t="s">
        <v>44</v>
      </c>
      <c r="C4" s="2" t="s">
        <v>83</v>
      </c>
      <c r="D4" s="2" t="s">
        <v>84</v>
      </c>
      <c r="E4" s="2" t="s">
        <v>8</v>
      </c>
      <c r="F4" s="2" t="s">
        <v>9</v>
      </c>
      <c r="G4" s="9">
        <v>68.180000000000007</v>
      </c>
      <c r="H4" s="9">
        <v>13.2</v>
      </c>
      <c r="I4" s="11">
        <f t="shared" si="0"/>
        <v>899.976</v>
      </c>
      <c r="J4" s="2" t="s">
        <v>85</v>
      </c>
    </row>
    <row r="5" spans="1:10" ht="14.5" x14ac:dyDescent="0.35">
      <c r="B5" s="14"/>
      <c r="G5" s="9"/>
      <c r="H5" s="9"/>
      <c r="I5" s="11"/>
    </row>
    <row r="6" spans="1:10" ht="14.5" x14ac:dyDescent="0.35">
      <c r="B6" s="6"/>
      <c r="C6" s="13"/>
      <c r="G6" s="9"/>
      <c r="H6" s="9"/>
      <c r="I6" s="9"/>
    </row>
    <row r="7" spans="1:10" ht="14.5" x14ac:dyDescent="0.35">
      <c r="D7" s="2"/>
      <c r="G7" s="9"/>
      <c r="H7" s="9"/>
      <c r="I7" s="9"/>
    </row>
    <row r="8" spans="1:10" ht="14.5" x14ac:dyDescent="0.35">
      <c r="G8" s="9"/>
      <c r="H8" s="9"/>
      <c r="I8" s="9"/>
    </row>
    <row r="9" spans="1:10" ht="14.5" x14ac:dyDescent="0.35">
      <c r="G9" s="9"/>
      <c r="H9" s="9"/>
      <c r="I9" s="9"/>
    </row>
    <row r="10" spans="1:10" ht="14.5" x14ac:dyDescent="0.35">
      <c r="G10" s="9"/>
      <c r="H10" s="9"/>
      <c r="I10" s="9"/>
    </row>
    <row r="11" spans="1:10" ht="15.75" customHeight="1" x14ac:dyDescent="0.35">
      <c r="G11" s="9"/>
      <c r="H11" s="9"/>
      <c r="I11" s="9"/>
    </row>
    <row r="12" spans="1:10" ht="15.75" customHeight="1" x14ac:dyDescent="0.35"/>
    <row r="13" spans="1:10" ht="15.75" customHeight="1" x14ac:dyDescent="0.35"/>
    <row r="14" spans="1:10" ht="15.75" customHeight="1" x14ac:dyDescent="0.35"/>
    <row r="15" spans="1:10" ht="15.75" customHeight="1" x14ac:dyDescent="0.35"/>
    <row r="16" spans="1:10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defaultColWidth="14.453125" defaultRowHeight="15" customHeight="1" x14ac:dyDescent="0.35"/>
  <cols>
    <col min="1" max="1" width="15" customWidth="1"/>
    <col min="2" max="2" width="14.7265625" customWidth="1"/>
    <col min="3" max="3" width="16.08984375" customWidth="1"/>
    <col min="4" max="4" width="20.08984375" customWidth="1"/>
    <col min="5" max="5" width="14.81640625" customWidth="1"/>
    <col min="6" max="6" width="18" customWidth="1"/>
    <col min="7" max="7" width="14.453125" customWidth="1"/>
    <col min="8" max="8" width="8.7265625" customWidth="1"/>
    <col min="9" max="9" width="14.7265625" customWidth="1"/>
    <col min="10" max="10" width="13.54296875" customWidth="1"/>
    <col min="11" max="26" width="8.7265625" customWidth="1"/>
  </cols>
  <sheetData>
    <row r="1" spans="1:7" ht="14.5" x14ac:dyDescent="0.35">
      <c r="A1" s="1" t="s">
        <v>86</v>
      </c>
      <c r="B1" s="1" t="s">
        <v>27</v>
      </c>
      <c r="C1" s="1" t="s">
        <v>87</v>
      </c>
      <c r="D1" s="1" t="s">
        <v>88</v>
      </c>
      <c r="E1" s="1" t="s">
        <v>66</v>
      </c>
      <c r="F1" s="1" t="s">
        <v>89</v>
      </c>
      <c r="G1" s="1" t="s">
        <v>90</v>
      </c>
    </row>
    <row r="2" spans="1:7" ht="14.5" x14ac:dyDescent="0.35">
      <c r="A2" s="2" t="s">
        <v>91</v>
      </c>
      <c r="B2" s="15">
        <v>45664</v>
      </c>
      <c r="C2" s="2" t="s">
        <v>92</v>
      </c>
      <c r="D2" s="2" t="s">
        <v>93</v>
      </c>
      <c r="E2" s="2">
        <v>50</v>
      </c>
      <c r="F2" s="2" t="s">
        <v>94</v>
      </c>
      <c r="G2" s="2" t="s">
        <v>95</v>
      </c>
    </row>
    <row r="3" spans="1:7" ht="14.5" x14ac:dyDescent="0.35">
      <c r="A3" s="2" t="s">
        <v>96</v>
      </c>
      <c r="B3" s="15">
        <v>45664</v>
      </c>
      <c r="C3" s="2" t="s">
        <v>97</v>
      </c>
      <c r="D3" s="2" t="s">
        <v>98</v>
      </c>
      <c r="E3" s="2">
        <v>890</v>
      </c>
      <c r="F3" s="2" t="s">
        <v>99</v>
      </c>
      <c r="G3" s="2" t="s">
        <v>100</v>
      </c>
    </row>
    <row r="4" spans="1:7" ht="14.5" x14ac:dyDescent="0.35">
      <c r="A4" s="2" t="s">
        <v>91</v>
      </c>
      <c r="B4" s="15">
        <v>45695</v>
      </c>
      <c r="C4" s="2" t="s">
        <v>92</v>
      </c>
      <c r="D4" s="2" t="s">
        <v>93</v>
      </c>
      <c r="E4" s="2">
        <v>50</v>
      </c>
      <c r="F4" s="2" t="s">
        <v>94</v>
      </c>
      <c r="G4" s="2" t="s">
        <v>95</v>
      </c>
    </row>
    <row r="5" spans="1:7" ht="14.5" x14ac:dyDescent="0.35">
      <c r="A5" s="2" t="s">
        <v>101</v>
      </c>
      <c r="B5" s="14">
        <v>45723</v>
      </c>
      <c r="C5" s="2" t="s">
        <v>102</v>
      </c>
      <c r="D5" s="2" t="s">
        <v>103</v>
      </c>
      <c r="E5" s="2">
        <v>600</v>
      </c>
      <c r="F5" s="2" t="s">
        <v>94</v>
      </c>
      <c r="G5" s="2" t="s">
        <v>95</v>
      </c>
    </row>
    <row r="6" spans="1:7" ht="14.5" x14ac:dyDescent="0.35">
      <c r="A6" s="2" t="s">
        <v>104</v>
      </c>
      <c r="B6" s="14">
        <v>45723</v>
      </c>
      <c r="C6" s="2" t="s">
        <v>105</v>
      </c>
      <c r="D6" s="2" t="s">
        <v>106</v>
      </c>
      <c r="E6" s="2">
        <v>750</v>
      </c>
      <c r="F6" s="2" t="s">
        <v>107</v>
      </c>
      <c r="G6" s="2" t="s">
        <v>108</v>
      </c>
    </row>
    <row r="7" spans="1:7" ht="14.5" x14ac:dyDescent="0.35">
      <c r="A7" s="2" t="s">
        <v>96</v>
      </c>
      <c r="B7" s="15">
        <v>45815</v>
      </c>
      <c r="C7" s="2" t="s">
        <v>97</v>
      </c>
      <c r="D7" s="2" t="s">
        <v>98</v>
      </c>
      <c r="E7" s="2">
        <v>891</v>
      </c>
      <c r="F7" s="2" t="s">
        <v>99</v>
      </c>
      <c r="G7" s="2" t="s">
        <v>100</v>
      </c>
    </row>
    <row r="8" spans="1:7" ht="14.5" x14ac:dyDescent="0.35">
      <c r="A8" s="2" t="s">
        <v>91</v>
      </c>
      <c r="B8" s="15">
        <v>45815</v>
      </c>
      <c r="C8" s="2" t="s">
        <v>92</v>
      </c>
      <c r="D8" s="2" t="s">
        <v>93</v>
      </c>
      <c r="E8" s="2">
        <v>50</v>
      </c>
      <c r="F8" s="2" t="s">
        <v>94</v>
      </c>
      <c r="G8" s="2" t="s">
        <v>95</v>
      </c>
    </row>
    <row r="9" spans="1:7" ht="14.5" x14ac:dyDescent="0.35">
      <c r="A9" s="2" t="s">
        <v>109</v>
      </c>
      <c r="B9" s="14">
        <v>45815</v>
      </c>
      <c r="C9" s="2" t="s">
        <v>110</v>
      </c>
      <c r="D9" s="2" t="s">
        <v>111</v>
      </c>
      <c r="E9" s="2">
        <v>300</v>
      </c>
      <c r="F9" s="2" t="s">
        <v>94</v>
      </c>
      <c r="G9" s="2" t="s">
        <v>95</v>
      </c>
    </row>
    <row r="10" spans="1:7" ht="14.5" x14ac:dyDescent="0.35">
      <c r="A10" s="2" t="s">
        <v>112</v>
      </c>
      <c r="B10" s="14">
        <v>45845</v>
      </c>
      <c r="C10" s="2" t="s">
        <v>113</v>
      </c>
      <c r="D10" s="2" t="s">
        <v>114</v>
      </c>
      <c r="E10" s="2">
        <v>400</v>
      </c>
      <c r="F10" s="2" t="s">
        <v>94</v>
      </c>
      <c r="G10" s="2" t="s">
        <v>95</v>
      </c>
    </row>
    <row r="11" spans="1:7" ht="14.5" x14ac:dyDescent="0.35">
      <c r="A11" s="2" t="s">
        <v>91</v>
      </c>
      <c r="B11" s="15">
        <v>45845</v>
      </c>
      <c r="C11" s="2" t="s">
        <v>92</v>
      </c>
      <c r="D11" s="2" t="s">
        <v>93</v>
      </c>
      <c r="E11" s="2">
        <v>50</v>
      </c>
      <c r="F11" s="2" t="s">
        <v>94</v>
      </c>
      <c r="G11" s="2" t="s">
        <v>95</v>
      </c>
    </row>
    <row r="12" spans="1:7" ht="14.5" x14ac:dyDescent="0.35">
      <c r="A12" s="2" t="s">
        <v>112</v>
      </c>
      <c r="B12" s="14">
        <v>45876</v>
      </c>
      <c r="C12" s="2" t="s">
        <v>113</v>
      </c>
      <c r="D12" s="2" t="s">
        <v>114</v>
      </c>
      <c r="E12" s="2">
        <v>500</v>
      </c>
      <c r="F12" s="2" t="s">
        <v>94</v>
      </c>
      <c r="G12" s="2" t="s">
        <v>95</v>
      </c>
    </row>
    <row r="13" spans="1:7" ht="14.5" x14ac:dyDescent="0.35">
      <c r="A13" s="2" t="s">
        <v>91</v>
      </c>
      <c r="B13" s="15">
        <v>45876</v>
      </c>
      <c r="C13" s="2" t="s">
        <v>92</v>
      </c>
      <c r="D13" s="2" t="s">
        <v>93</v>
      </c>
      <c r="E13" s="2">
        <v>50</v>
      </c>
      <c r="F13" s="2" t="s">
        <v>94</v>
      </c>
      <c r="G13" s="2" t="s">
        <v>95</v>
      </c>
    </row>
    <row r="14" spans="1:7" ht="14.5" x14ac:dyDescent="0.35">
      <c r="A14" s="2" t="s">
        <v>91</v>
      </c>
      <c r="B14" s="15">
        <v>45907</v>
      </c>
      <c r="C14" s="2" t="s">
        <v>92</v>
      </c>
      <c r="D14" s="2" t="s">
        <v>93</v>
      </c>
      <c r="E14" s="2">
        <v>50</v>
      </c>
      <c r="F14" s="2" t="s">
        <v>94</v>
      </c>
      <c r="G14" s="2" t="s">
        <v>95</v>
      </c>
    </row>
    <row r="15" spans="1:7" ht="14.5" x14ac:dyDescent="0.35">
      <c r="A15" s="2" t="s">
        <v>91</v>
      </c>
      <c r="B15" s="15">
        <v>45937</v>
      </c>
      <c r="C15" s="2" t="s">
        <v>92</v>
      </c>
      <c r="D15" s="2" t="s">
        <v>93</v>
      </c>
      <c r="E15" s="2">
        <v>50</v>
      </c>
      <c r="F15" s="2" t="s">
        <v>94</v>
      </c>
      <c r="G15" s="2" t="s">
        <v>95</v>
      </c>
    </row>
    <row r="16" spans="1:7" ht="14.5" x14ac:dyDescent="0.35">
      <c r="A16" s="2" t="s">
        <v>91</v>
      </c>
      <c r="B16" s="16" t="s">
        <v>42</v>
      </c>
      <c r="C16" s="2" t="s">
        <v>92</v>
      </c>
      <c r="D16" s="2" t="s">
        <v>93</v>
      </c>
      <c r="E16" s="2">
        <v>50</v>
      </c>
      <c r="F16" s="2" t="s">
        <v>94</v>
      </c>
      <c r="G16" s="2" t="s">
        <v>95</v>
      </c>
    </row>
    <row r="17" spans="1:7" ht="14.5" x14ac:dyDescent="0.35">
      <c r="A17" s="2" t="s">
        <v>112</v>
      </c>
      <c r="B17" s="6" t="s">
        <v>43</v>
      </c>
      <c r="C17" s="2" t="s">
        <v>113</v>
      </c>
      <c r="D17" s="2" t="s">
        <v>114</v>
      </c>
      <c r="E17" s="2">
        <v>400</v>
      </c>
      <c r="F17" s="2" t="s">
        <v>94</v>
      </c>
      <c r="G17" s="2" t="s">
        <v>95</v>
      </c>
    </row>
    <row r="18" spans="1:7" ht="14.5" x14ac:dyDescent="0.35">
      <c r="A18" s="2" t="s">
        <v>91</v>
      </c>
      <c r="B18" s="6" t="s">
        <v>43</v>
      </c>
      <c r="C18" s="2" t="s">
        <v>92</v>
      </c>
      <c r="D18" s="2" t="s">
        <v>93</v>
      </c>
      <c r="E18" s="2">
        <v>50</v>
      </c>
      <c r="F18" s="2" t="s">
        <v>94</v>
      </c>
      <c r="G18" s="2" t="s">
        <v>95</v>
      </c>
    </row>
    <row r="19" spans="1:7" ht="14.5" x14ac:dyDescent="0.35">
      <c r="A19" s="2" t="s">
        <v>91</v>
      </c>
      <c r="B19" s="6" t="s">
        <v>44</v>
      </c>
      <c r="C19" s="2" t="s">
        <v>92</v>
      </c>
      <c r="D19" s="2" t="s">
        <v>93</v>
      </c>
      <c r="E19" s="2">
        <v>50</v>
      </c>
      <c r="F19" s="2" t="s">
        <v>94</v>
      </c>
      <c r="G19" s="2" t="s">
        <v>95</v>
      </c>
    </row>
    <row r="20" spans="1:7" ht="14.5" x14ac:dyDescent="0.35">
      <c r="A20" s="2" t="s">
        <v>91</v>
      </c>
      <c r="B20" s="6" t="s">
        <v>45</v>
      </c>
      <c r="C20" s="2" t="s">
        <v>92</v>
      </c>
      <c r="D20" s="2" t="s">
        <v>93</v>
      </c>
      <c r="E20" s="2">
        <v>50</v>
      </c>
      <c r="F20" s="2" t="s">
        <v>94</v>
      </c>
      <c r="G20" s="2" t="s">
        <v>95</v>
      </c>
    </row>
    <row r="21" spans="1:7" ht="15.75" customHeight="1" x14ac:dyDescent="0.35">
      <c r="A21" s="2" t="s">
        <v>91</v>
      </c>
      <c r="B21" s="6" t="s">
        <v>46</v>
      </c>
      <c r="C21" s="2" t="s">
        <v>92</v>
      </c>
      <c r="D21" s="2" t="s">
        <v>93</v>
      </c>
      <c r="E21" s="2">
        <v>50</v>
      </c>
      <c r="F21" s="2" t="s">
        <v>94</v>
      </c>
      <c r="G21" s="2" t="s">
        <v>95</v>
      </c>
    </row>
    <row r="22" spans="1:7" ht="15.75" customHeight="1" x14ac:dyDescent="0.35">
      <c r="A22" s="2" t="s">
        <v>91</v>
      </c>
      <c r="B22" s="6" t="s">
        <v>49</v>
      </c>
      <c r="C22" s="2" t="s">
        <v>92</v>
      </c>
      <c r="D22" s="2" t="s">
        <v>93</v>
      </c>
      <c r="E22" s="2">
        <v>50</v>
      </c>
      <c r="F22" s="2" t="s">
        <v>94</v>
      </c>
      <c r="G22" s="2" t="s">
        <v>95</v>
      </c>
    </row>
    <row r="23" spans="1:7" ht="15.75" customHeight="1" x14ac:dyDescent="0.35">
      <c r="A23" s="2" t="s">
        <v>91</v>
      </c>
      <c r="B23" s="6" t="s">
        <v>50</v>
      </c>
      <c r="C23" s="2" t="s">
        <v>92</v>
      </c>
      <c r="D23" s="2" t="s">
        <v>93</v>
      </c>
      <c r="E23" s="2">
        <v>50</v>
      </c>
      <c r="F23" s="2" t="s">
        <v>94</v>
      </c>
      <c r="G23" s="2" t="s">
        <v>95</v>
      </c>
    </row>
    <row r="24" spans="1:7" ht="15.75" customHeight="1" x14ac:dyDescent="0.35">
      <c r="A24" s="2" t="s">
        <v>91</v>
      </c>
      <c r="B24" s="6" t="s">
        <v>51</v>
      </c>
      <c r="C24" s="2" t="s">
        <v>92</v>
      </c>
      <c r="D24" s="2" t="s">
        <v>93</v>
      </c>
      <c r="E24" s="2">
        <v>50</v>
      </c>
      <c r="F24" s="2" t="s">
        <v>94</v>
      </c>
      <c r="G24" s="2" t="s">
        <v>95</v>
      </c>
    </row>
    <row r="25" spans="1:7" ht="15.75" customHeight="1" x14ac:dyDescent="0.35">
      <c r="A25" s="2" t="s">
        <v>91</v>
      </c>
      <c r="B25" s="6" t="s">
        <v>52</v>
      </c>
      <c r="C25" s="2" t="s">
        <v>92</v>
      </c>
      <c r="D25" s="2" t="s">
        <v>93</v>
      </c>
      <c r="E25" s="2">
        <v>50</v>
      </c>
      <c r="F25" s="2" t="s">
        <v>94</v>
      </c>
      <c r="G25" s="2" t="s">
        <v>95</v>
      </c>
    </row>
    <row r="26" spans="1:7" ht="15.75" customHeight="1" x14ac:dyDescent="0.35">
      <c r="A26" s="2" t="s">
        <v>91</v>
      </c>
      <c r="B26" s="6" t="s">
        <v>53</v>
      </c>
      <c r="C26" s="2" t="s">
        <v>92</v>
      </c>
      <c r="D26" s="2" t="s">
        <v>93</v>
      </c>
      <c r="E26" s="2">
        <v>50</v>
      </c>
      <c r="F26" s="2" t="s">
        <v>94</v>
      </c>
      <c r="G26" s="2" t="s">
        <v>95</v>
      </c>
    </row>
    <row r="27" spans="1:7" ht="15.75" customHeight="1" x14ac:dyDescent="0.35">
      <c r="A27" s="2" t="s">
        <v>91</v>
      </c>
      <c r="B27" s="6" t="s">
        <v>56</v>
      </c>
      <c r="C27" s="2" t="s">
        <v>92</v>
      </c>
      <c r="D27" s="2" t="s">
        <v>93</v>
      </c>
      <c r="E27" s="2">
        <v>50</v>
      </c>
      <c r="F27" s="2" t="s">
        <v>94</v>
      </c>
      <c r="G27" s="2" t="s">
        <v>95</v>
      </c>
    </row>
    <row r="28" spans="1:7" ht="15.75" customHeight="1" x14ac:dyDescent="0.35">
      <c r="A28" s="2" t="s">
        <v>112</v>
      </c>
      <c r="B28" s="6" t="s">
        <v>57</v>
      </c>
      <c r="C28" s="2" t="s">
        <v>113</v>
      </c>
      <c r="D28" s="2" t="s">
        <v>114</v>
      </c>
      <c r="E28" s="2">
        <v>400</v>
      </c>
      <c r="F28" s="2" t="s">
        <v>94</v>
      </c>
      <c r="G28" s="2" t="s">
        <v>95</v>
      </c>
    </row>
    <row r="29" spans="1:7" ht="15.75" customHeight="1" x14ac:dyDescent="0.35">
      <c r="A29" s="2" t="s">
        <v>91</v>
      </c>
      <c r="B29" s="6" t="s">
        <v>57</v>
      </c>
      <c r="C29" s="2" t="s">
        <v>92</v>
      </c>
      <c r="D29" s="2" t="s">
        <v>93</v>
      </c>
      <c r="E29" s="2">
        <v>50</v>
      </c>
      <c r="F29" s="2" t="s">
        <v>94</v>
      </c>
      <c r="G29" s="2" t="s">
        <v>95</v>
      </c>
    </row>
    <row r="30" spans="1:7" ht="15.75" customHeight="1" x14ac:dyDescent="0.35">
      <c r="A30" s="2" t="s">
        <v>91</v>
      </c>
      <c r="B30" s="6" t="s">
        <v>58</v>
      </c>
      <c r="C30" s="2" t="s">
        <v>92</v>
      </c>
      <c r="D30" s="2" t="s">
        <v>93</v>
      </c>
      <c r="E30" s="2">
        <v>50</v>
      </c>
      <c r="F30" s="2" t="s">
        <v>94</v>
      </c>
      <c r="G30" s="2" t="s">
        <v>95</v>
      </c>
    </row>
    <row r="31" spans="1:7" ht="15.75" customHeight="1" x14ac:dyDescent="0.35">
      <c r="A31" s="2" t="s">
        <v>91</v>
      </c>
      <c r="B31" s="6" t="s">
        <v>59</v>
      </c>
      <c r="C31" s="2" t="s">
        <v>92</v>
      </c>
      <c r="D31" s="2" t="s">
        <v>93</v>
      </c>
      <c r="E31" s="2">
        <v>50</v>
      </c>
      <c r="F31" s="2" t="s">
        <v>94</v>
      </c>
      <c r="G31" s="2" t="s">
        <v>95</v>
      </c>
    </row>
    <row r="32" spans="1:7" ht="15.75" customHeight="1" x14ac:dyDescent="0.35">
      <c r="A32" s="2" t="s">
        <v>104</v>
      </c>
      <c r="B32" s="6" t="s">
        <v>60</v>
      </c>
      <c r="C32" s="2" t="s">
        <v>115</v>
      </c>
      <c r="D32" s="2" t="s">
        <v>116</v>
      </c>
      <c r="E32" s="2">
        <v>1150</v>
      </c>
      <c r="F32" s="2" t="s">
        <v>107</v>
      </c>
      <c r="G32" s="2" t="s">
        <v>108</v>
      </c>
    </row>
    <row r="33" spans="1:7" ht="15.75" customHeight="1" x14ac:dyDescent="0.35">
      <c r="A33" s="2" t="s">
        <v>91</v>
      </c>
      <c r="B33" s="6" t="s">
        <v>60</v>
      </c>
      <c r="C33" s="2" t="s">
        <v>92</v>
      </c>
      <c r="D33" s="2" t="s">
        <v>93</v>
      </c>
      <c r="E33" s="2">
        <v>50</v>
      </c>
      <c r="F33" s="2" t="s">
        <v>94</v>
      </c>
      <c r="G33" s="2" t="s">
        <v>95</v>
      </c>
    </row>
    <row r="34" spans="1:7" ht="15.75" customHeight="1" x14ac:dyDescent="0.35"/>
    <row r="35" spans="1:7" ht="15.75" customHeight="1" x14ac:dyDescent="0.35"/>
    <row r="36" spans="1:7" ht="15.75" customHeight="1" x14ac:dyDescent="0.35"/>
    <row r="37" spans="1:7" ht="15.75" customHeight="1" x14ac:dyDescent="0.35"/>
    <row r="38" spans="1:7" ht="15.75" customHeight="1" x14ac:dyDescent="0.35"/>
    <row r="39" spans="1:7" ht="15.75" customHeight="1" x14ac:dyDescent="0.35"/>
    <row r="40" spans="1:7" ht="15.75" customHeight="1" x14ac:dyDescent="0.35"/>
    <row r="41" spans="1:7" ht="15.75" customHeight="1" x14ac:dyDescent="0.35"/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95"/>
  <sheetViews>
    <sheetView workbookViewId="0"/>
  </sheetViews>
  <sheetFormatPr defaultColWidth="14.453125" defaultRowHeight="15" customHeight="1" x14ac:dyDescent="0.35"/>
  <cols>
    <col min="1" max="1" width="15.08984375" customWidth="1"/>
    <col min="2" max="2" width="13.26953125" customWidth="1"/>
    <col min="3" max="3" width="18.08984375" customWidth="1"/>
    <col min="4" max="4" width="12" customWidth="1"/>
    <col min="5" max="5" width="11" customWidth="1"/>
    <col min="6" max="8" width="9.54296875" customWidth="1"/>
    <col min="9" max="9" width="12.453125" customWidth="1"/>
    <col min="10" max="10" width="9.26953125" customWidth="1"/>
    <col min="11" max="13" width="9.54296875" customWidth="1"/>
    <col min="14" max="14" width="12.08984375" customWidth="1"/>
    <col min="15" max="15" width="11" customWidth="1"/>
    <col min="16" max="16" width="9" customWidth="1"/>
    <col min="17" max="17" width="12.54296875" customWidth="1"/>
    <col min="18" max="35" width="8.7265625" customWidth="1"/>
  </cols>
  <sheetData>
    <row r="1" spans="1:15" ht="29" x14ac:dyDescent="0.35">
      <c r="A1" s="17" t="s">
        <v>27</v>
      </c>
      <c r="B1" s="17" t="s">
        <v>63</v>
      </c>
      <c r="C1" s="7" t="s">
        <v>117</v>
      </c>
      <c r="D1" s="7" t="s">
        <v>118</v>
      </c>
      <c r="E1" s="7" t="s">
        <v>0</v>
      </c>
      <c r="F1" s="7" t="s">
        <v>119</v>
      </c>
      <c r="G1" s="7" t="s">
        <v>120</v>
      </c>
      <c r="H1" s="7" t="s">
        <v>121</v>
      </c>
      <c r="I1" s="18" t="s">
        <v>122</v>
      </c>
      <c r="J1" s="19" t="s">
        <v>123</v>
      </c>
      <c r="K1" s="19" t="s">
        <v>124</v>
      </c>
      <c r="L1" s="18" t="s">
        <v>35</v>
      </c>
      <c r="M1" s="18" t="s">
        <v>125</v>
      </c>
      <c r="N1" s="20" t="s">
        <v>126</v>
      </c>
      <c r="O1" s="20" t="s">
        <v>127</v>
      </c>
    </row>
    <row r="2" spans="1:15" ht="14.5" x14ac:dyDescent="0.35">
      <c r="A2" s="14">
        <v>45695</v>
      </c>
      <c r="B2" s="2" t="s">
        <v>70</v>
      </c>
      <c r="C2" s="2" t="s">
        <v>69</v>
      </c>
      <c r="D2" s="2" t="s">
        <v>128</v>
      </c>
      <c r="E2" s="2" t="s">
        <v>8</v>
      </c>
      <c r="F2" s="2">
        <v>6236</v>
      </c>
      <c r="G2" s="2" t="s">
        <v>9</v>
      </c>
      <c r="H2" s="2">
        <v>9000</v>
      </c>
      <c r="I2" s="2">
        <v>9000</v>
      </c>
      <c r="J2" s="2">
        <v>8580</v>
      </c>
      <c r="K2" s="2">
        <v>17580</v>
      </c>
      <c r="M2" s="2">
        <f>H2-I2</f>
        <v>0</v>
      </c>
      <c r="N2" s="2">
        <v>12.5</v>
      </c>
      <c r="O2" s="21">
        <f t="shared" ref="O2:O11" si="0">I2*N2</f>
        <v>112500</v>
      </c>
    </row>
    <row r="3" spans="1:15" ht="14.5" x14ac:dyDescent="0.35">
      <c r="A3" s="14">
        <v>45876</v>
      </c>
      <c r="B3" s="2" t="s">
        <v>129</v>
      </c>
      <c r="C3" s="2" t="s">
        <v>130</v>
      </c>
      <c r="D3" s="2" t="s">
        <v>131</v>
      </c>
      <c r="E3" s="2" t="s">
        <v>4</v>
      </c>
      <c r="F3" s="2">
        <v>6477</v>
      </c>
      <c r="G3" s="2" t="s">
        <v>5</v>
      </c>
      <c r="H3" s="2">
        <v>4500</v>
      </c>
      <c r="I3" s="2">
        <v>4470</v>
      </c>
      <c r="J3" s="2">
        <v>220</v>
      </c>
      <c r="K3" s="2">
        <v>4690</v>
      </c>
      <c r="L3" s="2">
        <f t="shared" ref="L3:L4" si="1">H3-I3</f>
        <v>30</v>
      </c>
      <c r="N3" s="2">
        <v>11.6</v>
      </c>
      <c r="O3" s="21">
        <f t="shared" si="0"/>
        <v>51852</v>
      </c>
    </row>
    <row r="4" spans="1:15" ht="14.5" x14ac:dyDescent="0.35">
      <c r="A4" s="14">
        <v>45907</v>
      </c>
      <c r="B4" s="2" t="s">
        <v>74</v>
      </c>
      <c r="C4" s="2" t="s">
        <v>73</v>
      </c>
      <c r="D4" s="2" t="s">
        <v>132</v>
      </c>
      <c r="E4" s="2" t="s">
        <v>4</v>
      </c>
      <c r="F4" s="2">
        <v>6491</v>
      </c>
      <c r="G4" s="2" t="s">
        <v>5</v>
      </c>
      <c r="H4" s="2">
        <v>13500</v>
      </c>
      <c r="I4" s="2">
        <v>13410</v>
      </c>
      <c r="J4" s="2">
        <v>3750</v>
      </c>
      <c r="K4" s="2">
        <v>17160</v>
      </c>
      <c r="L4" s="2">
        <f t="shared" si="1"/>
        <v>90</v>
      </c>
      <c r="N4" s="2">
        <v>11.6</v>
      </c>
      <c r="O4" s="21">
        <f t="shared" si="0"/>
        <v>155556</v>
      </c>
    </row>
    <row r="5" spans="1:15" ht="14.5" x14ac:dyDescent="0.35">
      <c r="A5" s="14">
        <v>45937</v>
      </c>
      <c r="B5" s="2" t="s">
        <v>133</v>
      </c>
      <c r="C5" s="2" t="s">
        <v>134</v>
      </c>
      <c r="D5" s="2" t="s">
        <v>135</v>
      </c>
      <c r="E5" s="2" t="s">
        <v>8</v>
      </c>
      <c r="F5" s="2">
        <v>6402</v>
      </c>
      <c r="G5" s="2" t="s">
        <v>9</v>
      </c>
      <c r="H5" s="2">
        <v>9000</v>
      </c>
      <c r="I5" s="2">
        <v>8940</v>
      </c>
      <c r="J5" s="2">
        <v>7040</v>
      </c>
      <c r="K5" s="2">
        <v>15980</v>
      </c>
      <c r="M5" s="2">
        <f>H5-I5</f>
        <v>60</v>
      </c>
      <c r="N5" s="2">
        <v>13.2</v>
      </c>
      <c r="O5" s="21">
        <f t="shared" si="0"/>
        <v>118008</v>
      </c>
    </row>
    <row r="6" spans="1:15" ht="14.5" x14ac:dyDescent="0.35">
      <c r="A6" s="14">
        <v>45998</v>
      </c>
      <c r="B6" s="2" t="s">
        <v>74</v>
      </c>
      <c r="C6" s="2" t="s">
        <v>73</v>
      </c>
      <c r="D6" s="2" t="s">
        <v>132</v>
      </c>
      <c r="E6" s="2" t="s">
        <v>8</v>
      </c>
      <c r="F6" s="2">
        <v>8859</v>
      </c>
      <c r="G6" s="2" t="s">
        <v>9</v>
      </c>
      <c r="H6" s="2">
        <v>4500</v>
      </c>
      <c r="I6" s="2">
        <v>4500</v>
      </c>
      <c r="J6" s="2">
        <v>14920</v>
      </c>
      <c r="K6" s="2">
        <v>19420</v>
      </c>
      <c r="N6" s="2">
        <v>13.2</v>
      </c>
      <c r="O6" s="21">
        <f t="shared" si="0"/>
        <v>59400</v>
      </c>
    </row>
    <row r="7" spans="1:15" ht="14.5" x14ac:dyDescent="0.35">
      <c r="A7" s="6" t="s">
        <v>46</v>
      </c>
      <c r="B7" s="2" t="s">
        <v>136</v>
      </c>
      <c r="C7" s="2" t="s">
        <v>137</v>
      </c>
      <c r="D7" s="2" t="s">
        <v>138</v>
      </c>
      <c r="E7" s="2" t="s">
        <v>4</v>
      </c>
      <c r="F7" s="2">
        <v>6447</v>
      </c>
      <c r="G7" s="2" t="s">
        <v>5</v>
      </c>
      <c r="H7" s="2">
        <v>4500</v>
      </c>
      <c r="I7" s="2">
        <v>4500</v>
      </c>
      <c r="J7" s="2">
        <v>6610</v>
      </c>
      <c r="K7" s="2">
        <v>11110</v>
      </c>
      <c r="N7" s="2">
        <v>12.6</v>
      </c>
      <c r="O7" s="21">
        <f t="shared" si="0"/>
        <v>56700</v>
      </c>
    </row>
    <row r="8" spans="1:15" ht="14.5" x14ac:dyDescent="0.35">
      <c r="A8" s="6" t="s">
        <v>52</v>
      </c>
      <c r="B8" s="2" t="s">
        <v>77</v>
      </c>
      <c r="C8" s="2" t="s">
        <v>139</v>
      </c>
      <c r="D8" s="2" t="s">
        <v>140</v>
      </c>
      <c r="E8" s="2" t="s">
        <v>4</v>
      </c>
      <c r="F8" s="2">
        <v>5945</v>
      </c>
      <c r="G8" s="2" t="s">
        <v>5</v>
      </c>
      <c r="H8" s="2">
        <v>9000</v>
      </c>
      <c r="I8" s="2">
        <v>8950</v>
      </c>
      <c r="J8" s="2">
        <v>3800</v>
      </c>
      <c r="K8" s="2">
        <v>12750</v>
      </c>
      <c r="L8" s="2">
        <f>H8-I8</f>
        <v>50</v>
      </c>
      <c r="N8" s="2">
        <v>12.6</v>
      </c>
      <c r="O8" s="21">
        <f t="shared" si="0"/>
        <v>112770</v>
      </c>
    </row>
    <row r="9" spans="1:15" ht="14.5" x14ac:dyDescent="0.35">
      <c r="A9" s="6" t="s">
        <v>53</v>
      </c>
      <c r="B9" s="2" t="s">
        <v>141</v>
      </c>
      <c r="C9" s="2" t="s">
        <v>69</v>
      </c>
      <c r="D9" s="2" t="s">
        <v>128</v>
      </c>
      <c r="E9" s="2" t="s">
        <v>8</v>
      </c>
      <c r="F9" s="2">
        <v>5933</v>
      </c>
      <c r="G9" s="2" t="s">
        <v>9</v>
      </c>
      <c r="H9" s="2">
        <v>13500</v>
      </c>
      <c r="I9" s="2">
        <v>13500</v>
      </c>
      <c r="J9" s="2">
        <v>5900</v>
      </c>
      <c r="K9" s="2">
        <v>19400</v>
      </c>
      <c r="M9" s="2">
        <f t="shared" ref="M9:M10" si="2">H9-I9</f>
        <v>0</v>
      </c>
      <c r="N9" s="2">
        <v>14.2</v>
      </c>
      <c r="O9" s="21">
        <f t="shared" si="0"/>
        <v>191700</v>
      </c>
    </row>
    <row r="10" spans="1:15" ht="14.5" x14ac:dyDescent="0.35">
      <c r="A10" s="6" t="s">
        <v>59</v>
      </c>
      <c r="B10" s="2" t="s">
        <v>80</v>
      </c>
      <c r="C10" s="2" t="s">
        <v>142</v>
      </c>
      <c r="D10" s="2" t="s">
        <v>143</v>
      </c>
      <c r="E10" s="2" t="s">
        <v>8</v>
      </c>
      <c r="F10" s="2">
        <v>8882</v>
      </c>
      <c r="G10" s="2" t="s">
        <v>9</v>
      </c>
      <c r="H10" s="2">
        <v>4500</v>
      </c>
      <c r="I10" s="2">
        <v>4500</v>
      </c>
      <c r="J10" s="2">
        <v>11520</v>
      </c>
      <c r="K10" s="2">
        <v>16020</v>
      </c>
      <c r="M10" s="2">
        <f t="shared" si="2"/>
        <v>0</v>
      </c>
      <c r="N10" s="2">
        <v>14.2</v>
      </c>
      <c r="O10" s="21">
        <f t="shared" si="0"/>
        <v>63900</v>
      </c>
    </row>
    <row r="11" spans="1:15" ht="14.5" x14ac:dyDescent="0.35">
      <c r="A11" s="6" t="s">
        <v>59</v>
      </c>
      <c r="B11" s="2" t="s">
        <v>80</v>
      </c>
      <c r="C11" s="2" t="s">
        <v>144</v>
      </c>
      <c r="D11" s="2" t="s">
        <v>145</v>
      </c>
      <c r="E11" s="2" t="s">
        <v>4</v>
      </c>
      <c r="F11" s="2">
        <v>8877</v>
      </c>
      <c r="G11" s="2" t="s">
        <v>5</v>
      </c>
      <c r="H11" s="2">
        <v>13500</v>
      </c>
      <c r="I11" s="2">
        <v>13430</v>
      </c>
      <c r="J11" s="2">
        <v>4500</v>
      </c>
      <c r="K11" s="2">
        <v>13500</v>
      </c>
      <c r="L11" s="2">
        <f>H11-I11</f>
        <v>70</v>
      </c>
      <c r="N11" s="2">
        <v>12.6</v>
      </c>
      <c r="O11" s="21">
        <f t="shared" si="0"/>
        <v>169218</v>
      </c>
    </row>
    <row r="16" spans="1:15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53125" defaultRowHeight="15" customHeight="1" x14ac:dyDescent="0.35"/>
  <cols>
    <col min="1" max="1" width="16.7265625" customWidth="1"/>
    <col min="2" max="3" width="8.7265625" customWidth="1"/>
    <col min="4" max="4" width="12.7265625" customWidth="1"/>
    <col min="5" max="5" width="8.7265625" customWidth="1"/>
    <col min="6" max="6" width="10.81640625" customWidth="1"/>
    <col min="7" max="25" width="8.7265625" customWidth="1"/>
  </cols>
  <sheetData>
    <row r="1" spans="1:6" ht="14.5" x14ac:dyDescent="0.35">
      <c r="A1" s="1" t="s">
        <v>27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ht="14.5" x14ac:dyDescent="0.35">
      <c r="A2" s="22">
        <v>45839</v>
      </c>
      <c r="B2" s="2">
        <v>2025</v>
      </c>
      <c r="C2" s="2">
        <v>7</v>
      </c>
      <c r="D2" s="2" t="s">
        <v>151</v>
      </c>
      <c r="E2" s="2">
        <v>1</v>
      </c>
      <c r="F2" s="2" t="s">
        <v>152</v>
      </c>
    </row>
    <row r="3" spans="1:6" ht="14.5" x14ac:dyDescent="0.35">
      <c r="A3" s="22">
        <v>45840</v>
      </c>
      <c r="B3" s="2">
        <v>2025</v>
      </c>
      <c r="C3" s="2">
        <v>7</v>
      </c>
      <c r="D3" s="2" t="s">
        <v>151</v>
      </c>
      <c r="E3" s="2">
        <v>2</v>
      </c>
      <c r="F3" s="2" t="s">
        <v>153</v>
      </c>
    </row>
    <row r="4" spans="1:6" ht="14.5" x14ac:dyDescent="0.35">
      <c r="A4" s="22">
        <v>45841</v>
      </c>
      <c r="B4" s="2">
        <v>2025</v>
      </c>
      <c r="C4" s="2">
        <v>7</v>
      </c>
      <c r="D4" s="2" t="s">
        <v>154</v>
      </c>
      <c r="E4" s="2">
        <v>3</v>
      </c>
      <c r="F4" s="2" t="s">
        <v>155</v>
      </c>
    </row>
    <row r="5" spans="1:6" ht="14.5" x14ac:dyDescent="0.35">
      <c r="A5" s="22">
        <v>45842</v>
      </c>
      <c r="B5" s="2">
        <v>2025</v>
      </c>
      <c r="C5" s="2">
        <v>7</v>
      </c>
      <c r="D5" s="2" t="s">
        <v>154</v>
      </c>
      <c r="E5" s="2">
        <v>4</v>
      </c>
      <c r="F5" s="2" t="s">
        <v>156</v>
      </c>
    </row>
    <row r="6" spans="1:6" ht="14.5" x14ac:dyDescent="0.35">
      <c r="A6" s="22">
        <v>45843</v>
      </c>
      <c r="B6" s="2">
        <v>2025</v>
      </c>
      <c r="C6" s="2">
        <v>7</v>
      </c>
      <c r="D6" s="2" t="s">
        <v>154</v>
      </c>
      <c r="E6" s="2">
        <v>5</v>
      </c>
      <c r="F6" s="2" t="s">
        <v>157</v>
      </c>
    </row>
    <row r="7" spans="1:6" ht="14.5" x14ac:dyDescent="0.35">
      <c r="A7" s="22">
        <v>45844</v>
      </c>
      <c r="B7" s="2">
        <v>2025</v>
      </c>
      <c r="C7" s="2">
        <v>7</v>
      </c>
      <c r="D7" s="2" t="s">
        <v>154</v>
      </c>
      <c r="E7" s="2">
        <v>6</v>
      </c>
      <c r="F7" s="2" t="s">
        <v>158</v>
      </c>
    </row>
    <row r="8" spans="1:6" ht="14.5" x14ac:dyDescent="0.35">
      <c r="A8" s="22">
        <v>45845</v>
      </c>
      <c r="B8" s="2">
        <v>2025</v>
      </c>
      <c r="C8" s="2">
        <v>7</v>
      </c>
      <c r="D8" s="2" t="s">
        <v>154</v>
      </c>
      <c r="E8" s="2">
        <v>7</v>
      </c>
      <c r="F8" s="2" t="s">
        <v>159</v>
      </c>
    </row>
    <row r="9" spans="1:6" ht="14.5" x14ac:dyDescent="0.35">
      <c r="A9" s="22">
        <v>45846</v>
      </c>
      <c r="B9" s="2">
        <v>2025</v>
      </c>
      <c r="C9" s="2">
        <v>7</v>
      </c>
      <c r="D9" s="2" t="s">
        <v>154</v>
      </c>
      <c r="E9" s="2">
        <v>8</v>
      </c>
      <c r="F9" s="2" t="s">
        <v>152</v>
      </c>
    </row>
    <row r="10" spans="1:6" ht="14.5" x14ac:dyDescent="0.35">
      <c r="A10" s="22">
        <v>45847</v>
      </c>
      <c r="B10" s="2">
        <v>2025</v>
      </c>
      <c r="C10" s="2">
        <v>7</v>
      </c>
      <c r="D10" s="2" t="s">
        <v>154</v>
      </c>
      <c r="E10" s="2">
        <v>9</v>
      </c>
      <c r="F10" s="2" t="s">
        <v>153</v>
      </c>
    </row>
    <row r="11" spans="1:6" ht="14.5" x14ac:dyDescent="0.35">
      <c r="A11" s="22">
        <v>45848</v>
      </c>
      <c r="B11" s="2">
        <v>2025</v>
      </c>
      <c r="C11" s="2">
        <v>7</v>
      </c>
      <c r="D11" s="2" t="s">
        <v>154</v>
      </c>
      <c r="E11" s="2">
        <v>10</v>
      </c>
      <c r="F11" s="2" t="s">
        <v>155</v>
      </c>
    </row>
    <row r="12" spans="1:6" ht="14.5" x14ac:dyDescent="0.35">
      <c r="A12" s="22">
        <v>45849</v>
      </c>
      <c r="B12" s="2">
        <v>2025</v>
      </c>
      <c r="C12" s="2">
        <v>7</v>
      </c>
      <c r="D12" s="2" t="s">
        <v>154</v>
      </c>
      <c r="E12" s="2">
        <v>11</v>
      </c>
      <c r="F12" s="2" t="s">
        <v>156</v>
      </c>
    </row>
    <row r="13" spans="1:6" ht="14.5" x14ac:dyDescent="0.35">
      <c r="A13" s="22">
        <v>45850</v>
      </c>
      <c r="B13" s="2">
        <v>2025</v>
      </c>
      <c r="C13" s="2">
        <v>7</v>
      </c>
      <c r="D13" s="2" t="s">
        <v>154</v>
      </c>
      <c r="E13" s="2">
        <v>12</v>
      </c>
      <c r="F13" s="2" t="s">
        <v>157</v>
      </c>
    </row>
    <row r="14" spans="1:6" ht="14.5" x14ac:dyDescent="0.35">
      <c r="A14" s="22">
        <v>45851</v>
      </c>
      <c r="B14" s="2">
        <v>2025</v>
      </c>
      <c r="C14" s="2">
        <v>7</v>
      </c>
      <c r="D14" s="2" t="s">
        <v>154</v>
      </c>
      <c r="E14" s="2">
        <v>13</v>
      </c>
      <c r="F14" s="2" t="s">
        <v>158</v>
      </c>
    </row>
    <row r="15" spans="1:6" ht="14.5" x14ac:dyDescent="0.35">
      <c r="A15" s="22">
        <v>45852</v>
      </c>
      <c r="B15" s="2">
        <v>2025</v>
      </c>
      <c r="C15" s="2">
        <v>7</v>
      </c>
      <c r="D15" s="2" t="s">
        <v>154</v>
      </c>
      <c r="E15" s="2">
        <v>14</v>
      </c>
      <c r="F15" s="2" t="s">
        <v>159</v>
      </c>
    </row>
    <row r="16" spans="1:6" ht="14.5" x14ac:dyDescent="0.35">
      <c r="A16" s="22">
        <v>45853</v>
      </c>
      <c r="B16" s="2">
        <v>2025</v>
      </c>
      <c r="C16" s="2">
        <v>7</v>
      </c>
      <c r="D16" s="2" t="s">
        <v>154</v>
      </c>
      <c r="E16" s="2">
        <v>15</v>
      </c>
      <c r="F16" s="2" t="s">
        <v>152</v>
      </c>
    </row>
    <row r="17" spans="1:6" ht="14.5" x14ac:dyDescent="0.35">
      <c r="A17" s="22">
        <v>45854</v>
      </c>
      <c r="B17" s="2">
        <v>2025</v>
      </c>
      <c r="C17" s="2">
        <v>7</v>
      </c>
      <c r="D17" s="2" t="s">
        <v>154</v>
      </c>
      <c r="E17" s="2">
        <v>16</v>
      </c>
      <c r="F17" s="2" t="s">
        <v>153</v>
      </c>
    </row>
    <row r="18" spans="1:6" ht="14.5" x14ac:dyDescent="0.35">
      <c r="A18" s="22">
        <v>45855</v>
      </c>
      <c r="B18" s="2">
        <v>2025</v>
      </c>
      <c r="C18" s="2">
        <v>7</v>
      </c>
      <c r="D18" s="2" t="s">
        <v>154</v>
      </c>
      <c r="E18" s="2">
        <v>17</v>
      </c>
      <c r="F18" s="2" t="s">
        <v>155</v>
      </c>
    </row>
    <row r="19" spans="1:6" ht="14.5" x14ac:dyDescent="0.35">
      <c r="A19" s="22">
        <v>45856</v>
      </c>
      <c r="B19" s="2">
        <v>2025</v>
      </c>
      <c r="C19" s="2">
        <v>7</v>
      </c>
      <c r="D19" s="2" t="s">
        <v>154</v>
      </c>
      <c r="E19" s="2">
        <v>18</v>
      </c>
      <c r="F19" s="2" t="s">
        <v>156</v>
      </c>
    </row>
    <row r="20" spans="1:6" ht="14.5" x14ac:dyDescent="0.35">
      <c r="A20" s="22">
        <v>45857</v>
      </c>
      <c r="B20" s="2">
        <v>2025</v>
      </c>
      <c r="C20" s="2">
        <v>7</v>
      </c>
      <c r="D20" s="2" t="s">
        <v>154</v>
      </c>
      <c r="E20" s="2">
        <v>19</v>
      </c>
      <c r="F20" s="2" t="s">
        <v>157</v>
      </c>
    </row>
    <row r="21" spans="1:6" ht="15.75" customHeight="1" x14ac:dyDescent="0.35">
      <c r="A21" s="22">
        <v>45858</v>
      </c>
      <c r="B21" s="2">
        <v>2025</v>
      </c>
      <c r="C21" s="2">
        <v>7</v>
      </c>
      <c r="D21" s="2" t="s">
        <v>154</v>
      </c>
      <c r="E21" s="2">
        <v>20</v>
      </c>
      <c r="F21" s="2" t="s">
        <v>158</v>
      </c>
    </row>
    <row r="22" spans="1:6" ht="15.75" customHeight="1" x14ac:dyDescent="0.35">
      <c r="A22" s="22">
        <v>45859</v>
      </c>
      <c r="B22" s="2">
        <v>2025</v>
      </c>
      <c r="C22" s="2">
        <v>7</v>
      </c>
      <c r="D22" s="2" t="s">
        <v>154</v>
      </c>
      <c r="E22" s="2">
        <v>21</v>
      </c>
      <c r="F22" s="2" t="s">
        <v>159</v>
      </c>
    </row>
    <row r="23" spans="1:6" ht="15.75" customHeight="1" x14ac:dyDescent="0.35">
      <c r="A23" s="22">
        <v>45860</v>
      </c>
      <c r="B23" s="2">
        <v>2025</v>
      </c>
      <c r="C23" s="2">
        <v>7</v>
      </c>
      <c r="D23" s="2" t="s">
        <v>154</v>
      </c>
      <c r="E23" s="2">
        <v>22</v>
      </c>
      <c r="F23" s="2" t="s">
        <v>152</v>
      </c>
    </row>
    <row r="24" spans="1:6" ht="15.75" customHeight="1" x14ac:dyDescent="0.35">
      <c r="A24" s="22">
        <v>45861</v>
      </c>
      <c r="B24" s="2">
        <v>2025</v>
      </c>
      <c r="C24" s="2">
        <v>7</v>
      </c>
      <c r="D24" s="2" t="s">
        <v>154</v>
      </c>
      <c r="E24" s="2">
        <v>23</v>
      </c>
      <c r="F24" s="2" t="s">
        <v>153</v>
      </c>
    </row>
    <row r="25" spans="1:6" ht="15.75" customHeight="1" x14ac:dyDescent="0.35">
      <c r="A25" s="22">
        <v>45862</v>
      </c>
      <c r="B25" s="2">
        <v>2025</v>
      </c>
      <c r="C25" s="2">
        <v>7</v>
      </c>
      <c r="D25" s="2" t="s">
        <v>154</v>
      </c>
      <c r="E25" s="2">
        <v>24</v>
      </c>
      <c r="F25" s="2" t="s">
        <v>155</v>
      </c>
    </row>
    <row r="26" spans="1:6" ht="15.75" customHeight="1" x14ac:dyDescent="0.35">
      <c r="A26" s="22">
        <v>45863</v>
      </c>
      <c r="B26" s="2">
        <v>2025</v>
      </c>
      <c r="C26" s="2">
        <v>7</v>
      </c>
      <c r="D26" s="2" t="s">
        <v>154</v>
      </c>
      <c r="E26" s="2">
        <v>25</v>
      </c>
      <c r="F26" s="2" t="s">
        <v>156</v>
      </c>
    </row>
    <row r="27" spans="1:6" ht="15.75" customHeight="1" x14ac:dyDescent="0.35">
      <c r="A27" s="22">
        <v>45864</v>
      </c>
      <c r="B27" s="2">
        <v>2025</v>
      </c>
      <c r="C27" s="2">
        <v>7</v>
      </c>
      <c r="D27" s="2" t="s">
        <v>154</v>
      </c>
      <c r="E27" s="2">
        <v>26</v>
      </c>
      <c r="F27" s="2" t="s">
        <v>157</v>
      </c>
    </row>
    <row r="28" spans="1:6" ht="15.75" customHeight="1" x14ac:dyDescent="0.35">
      <c r="A28" s="22">
        <v>45865</v>
      </c>
      <c r="B28" s="2">
        <v>2025</v>
      </c>
      <c r="C28" s="2">
        <v>7</v>
      </c>
      <c r="D28" s="2" t="s">
        <v>154</v>
      </c>
      <c r="E28" s="2">
        <v>27</v>
      </c>
      <c r="F28" s="2" t="s">
        <v>158</v>
      </c>
    </row>
    <row r="29" spans="1:6" ht="15.75" customHeight="1" x14ac:dyDescent="0.35">
      <c r="A29" s="22">
        <v>45866</v>
      </c>
      <c r="B29" s="2">
        <v>2025</v>
      </c>
      <c r="C29" s="2">
        <v>7</v>
      </c>
      <c r="D29" s="2" t="s">
        <v>154</v>
      </c>
      <c r="E29" s="2">
        <v>28</v>
      </c>
      <c r="F29" s="2" t="s">
        <v>159</v>
      </c>
    </row>
    <row r="30" spans="1:6" ht="15.75" customHeight="1" x14ac:dyDescent="0.35">
      <c r="A30" s="22">
        <v>45867</v>
      </c>
      <c r="B30" s="2">
        <v>2025</v>
      </c>
      <c r="C30" s="2">
        <v>7</v>
      </c>
      <c r="D30" s="2" t="s">
        <v>154</v>
      </c>
      <c r="E30" s="2">
        <v>29</v>
      </c>
      <c r="F30" s="2" t="s">
        <v>152</v>
      </c>
    </row>
    <row r="31" spans="1:6" ht="15.75" customHeight="1" x14ac:dyDescent="0.35">
      <c r="A31" s="22">
        <v>45868</v>
      </c>
      <c r="B31" s="2">
        <v>2025</v>
      </c>
      <c r="C31" s="2">
        <v>7</v>
      </c>
      <c r="D31" s="2" t="s">
        <v>154</v>
      </c>
      <c r="E31" s="2">
        <v>30</v>
      </c>
      <c r="F31" s="2" t="s">
        <v>153</v>
      </c>
    </row>
    <row r="32" spans="1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tabSelected="1" workbookViewId="0"/>
  </sheetViews>
  <sheetFormatPr defaultColWidth="14.453125" defaultRowHeight="15" customHeight="1" x14ac:dyDescent="0.35"/>
  <cols>
    <col min="1" max="1" width="19" customWidth="1"/>
    <col min="2" max="2" width="8.7265625" customWidth="1"/>
    <col min="3" max="3" width="10.453125" customWidth="1"/>
    <col min="4" max="4" width="8.81640625" customWidth="1"/>
    <col min="5" max="5" width="11" customWidth="1"/>
    <col min="6" max="6" width="14.453125" customWidth="1"/>
    <col min="7" max="7" width="13.7265625" customWidth="1"/>
    <col min="8" max="8" width="8.453125" customWidth="1"/>
    <col min="9" max="9" width="9.453125" customWidth="1"/>
    <col min="10" max="10" width="10.7265625" customWidth="1"/>
    <col min="11" max="11" width="11" customWidth="1"/>
    <col min="12" max="12" width="10.08984375" customWidth="1"/>
    <col min="13" max="13" width="10.54296875" customWidth="1"/>
    <col min="14" max="14" width="11.26953125" customWidth="1"/>
    <col min="15" max="15" width="8.7265625" customWidth="1"/>
    <col min="16" max="16" width="10.08984375" customWidth="1"/>
    <col min="17" max="17" width="8.7265625" customWidth="1"/>
    <col min="18" max="18" width="9.54296875" customWidth="1"/>
    <col min="19" max="19" width="8.7265625" customWidth="1"/>
    <col min="20" max="20" width="9.7265625" customWidth="1"/>
    <col min="21" max="21" width="8.7265625" customWidth="1"/>
    <col min="22" max="22" width="8" customWidth="1"/>
    <col min="23" max="23" width="9.08984375" customWidth="1"/>
    <col min="24" max="24" width="9.7265625" customWidth="1"/>
    <col min="25" max="25" width="9.81640625" customWidth="1"/>
    <col min="26" max="28" width="8.7265625" customWidth="1"/>
  </cols>
  <sheetData>
    <row r="1" spans="1:28" ht="58" x14ac:dyDescent="0.35">
      <c r="A1" s="3" t="s">
        <v>27</v>
      </c>
      <c r="B1" s="1" t="s">
        <v>160</v>
      </c>
      <c r="C1" s="7" t="s">
        <v>11</v>
      </c>
      <c r="D1" s="7" t="s">
        <v>0</v>
      </c>
      <c r="E1" s="7" t="s">
        <v>161</v>
      </c>
      <c r="F1" s="7" t="s">
        <v>162</v>
      </c>
      <c r="G1" s="7" t="s">
        <v>163</v>
      </c>
      <c r="H1" s="7" t="s">
        <v>164</v>
      </c>
      <c r="I1" s="7" t="s">
        <v>165</v>
      </c>
      <c r="J1" s="7" t="s">
        <v>166</v>
      </c>
      <c r="K1" s="7" t="s">
        <v>167</v>
      </c>
      <c r="L1" s="7" t="s">
        <v>168</v>
      </c>
      <c r="M1" s="7" t="s">
        <v>169</v>
      </c>
      <c r="N1" s="7" t="s">
        <v>170</v>
      </c>
      <c r="O1" s="18" t="s">
        <v>171</v>
      </c>
      <c r="P1" s="18" t="s">
        <v>172</v>
      </c>
      <c r="Q1" s="20" t="s">
        <v>173</v>
      </c>
      <c r="R1" s="20" t="s">
        <v>174</v>
      </c>
      <c r="S1" s="20" t="s">
        <v>175</v>
      </c>
      <c r="T1" s="20" t="s">
        <v>176</v>
      </c>
      <c r="U1" s="20" t="s">
        <v>177</v>
      </c>
      <c r="V1" s="20" t="s">
        <v>178</v>
      </c>
      <c r="W1" s="18" t="s">
        <v>179</v>
      </c>
      <c r="X1" s="18" t="s">
        <v>180</v>
      </c>
      <c r="Y1" s="18" t="s">
        <v>181</v>
      </c>
    </row>
    <row r="2" spans="1:28" ht="14.5" x14ac:dyDescent="0.35">
      <c r="A2" s="4">
        <v>45664</v>
      </c>
      <c r="B2" s="2" t="s">
        <v>152</v>
      </c>
      <c r="C2" s="2" t="s">
        <v>22</v>
      </c>
      <c r="D2" s="2" t="s">
        <v>4</v>
      </c>
      <c r="E2" s="9">
        <v>1</v>
      </c>
      <c r="F2" s="9">
        <v>347417.86</v>
      </c>
      <c r="G2" s="9">
        <v>348291.51</v>
      </c>
      <c r="I2" s="2">
        <f t="shared" ref="I2:I37" si="0">G2-F2</f>
        <v>873.65000000002328</v>
      </c>
      <c r="J2" s="9">
        <v>10.99</v>
      </c>
      <c r="K2" s="23">
        <f t="shared" ref="K2:K187" si="1">I2*J2</f>
        <v>9601.4135000002552</v>
      </c>
      <c r="L2" s="24">
        <f>K2+K3</f>
        <v>22254.859900000101</v>
      </c>
      <c r="M2" s="25">
        <f>K4+K5+K6+K7</f>
        <v>10449.499999999534</v>
      </c>
      <c r="N2" s="25">
        <f>SUM(L2:M2)</f>
        <v>32704.359899999636</v>
      </c>
      <c r="O2" s="9">
        <v>50</v>
      </c>
      <c r="P2" s="9">
        <v>890</v>
      </c>
      <c r="W2" s="24">
        <f>N2-O2-P2-Q2-R2-S2-T2-U2-V2</f>
        <v>31764.359899999636</v>
      </c>
      <c r="X2" s="24">
        <v>31765</v>
      </c>
      <c r="Y2" s="24">
        <f>X2-W2</f>
        <v>0.64010000036432757</v>
      </c>
    </row>
    <row r="3" spans="1:28" ht="14.5" x14ac:dyDescent="0.35">
      <c r="A3" s="4">
        <v>45664</v>
      </c>
      <c r="B3" s="2" t="s">
        <v>152</v>
      </c>
      <c r="C3" s="2" t="s">
        <v>22</v>
      </c>
      <c r="D3" s="2" t="s">
        <v>4</v>
      </c>
      <c r="E3" s="9">
        <v>2</v>
      </c>
      <c r="F3" s="9">
        <v>553184.26</v>
      </c>
      <c r="G3" s="9">
        <v>554335.62</v>
      </c>
      <c r="I3" s="2">
        <f t="shared" si="0"/>
        <v>1151.359999999986</v>
      </c>
      <c r="J3" s="9">
        <v>10.99</v>
      </c>
      <c r="K3" s="23">
        <f t="shared" si="1"/>
        <v>12653.446399999846</v>
      </c>
      <c r="M3" s="26"/>
      <c r="N3" s="26"/>
      <c r="O3" s="9"/>
      <c r="P3" s="9"/>
      <c r="W3" s="9"/>
      <c r="X3" s="9"/>
      <c r="Y3" s="9"/>
    </row>
    <row r="4" spans="1:28" ht="14.5" x14ac:dyDescent="0.35">
      <c r="A4" s="4">
        <v>45664</v>
      </c>
      <c r="B4" s="2" t="s">
        <v>152</v>
      </c>
      <c r="C4" s="2" t="s">
        <v>20</v>
      </c>
      <c r="D4" s="2" t="s">
        <v>8</v>
      </c>
      <c r="E4" s="9">
        <v>1</v>
      </c>
      <c r="F4" s="9">
        <v>283361.49</v>
      </c>
      <c r="G4" s="9">
        <v>283361.49</v>
      </c>
      <c r="I4" s="2">
        <f t="shared" si="0"/>
        <v>0</v>
      </c>
      <c r="J4" s="9">
        <v>12.5</v>
      </c>
      <c r="K4" s="23">
        <f t="shared" si="1"/>
        <v>0</v>
      </c>
      <c r="M4" s="26"/>
      <c r="N4" s="26"/>
      <c r="O4" s="9"/>
      <c r="P4" s="9"/>
      <c r="W4" s="9"/>
      <c r="X4" s="9"/>
      <c r="Y4" s="9"/>
    </row>
    <row r="5" spans="1:28" ht="14.5" x14ac:dyDescent="0.35">
      <c r="A5" s="4">
        <v>45664</v>
      </c>
      <c r="B5" s="2" t="s">
        <v>152</v>
      </c>
      <c r="C5" s="2" t="s">
        <v>20</v>
      </c>
      <c r="D5" s="2" t="s">
        <v>8</v>
      </c>
      <c r="E5" s="9">
        <v>2</v>
      </c>
      <c r="F5" s="9">
        <v>407356.75</v>
      </c>
      <c r="G5" s="9">
        <v>407559.16</v>
      </c>
      <c r="I5" s="2">
        <f t="shared" si="0"/>
        <v>202.40999999997439</v>
      </c>
      <c r="J5" s="9">
        <v>12.5</v>
      </c>
      <c r="K5" s="23">
        <f t="shared" si="1"/>
        <v>2530.1249999996799</v>
      </c>
      <c r="M5" s="26"/>
      <c r="N5" s="26"/>
      <c r="O5" s="9"/>
      <c r="P5" s="9"/>
      <c r="W5" s="9"/>
      <c r="X5" s="9"/>
      <c r="Y5" s="9"/>
    </row>
    <row r="6" spans="1:28" ht="14.5" x14ac:dyDescent="0.35">
      <c r="A6" s="4">
        <v>45664</v>
      </c>
      <c r="B6" s="2" t="s">
        <v>152</v>
      </c>
      <c r="C6" s="2" t="s">
        <v>20</v>
      </c>
      <c r="D6" s="2" t="s">
        <v>8</v>
      </c>
      <c r="E6" s="9">
        <v>3</v>
      </c>
      <c r="F6" s="9">
        <v>367111.54</v>
      </c>
      <c r="G6" s="9">
        <v>367538.61</v>
      </c>
      <c r="I6" s="2">
        <f t="shared" si="0"/>
        <v>427.07000000000698</v>
      </c>
      <c r="J6" s="9">
        <v>12.5</v>
      </c>
      <c r="K6" s="23">
        <f t="shared" si="1"/>
        <v>5338.3750000000873</v>
      </c>
      <c r="M6" s="26"/>
      <c r="N6" s="26"/>
      <c r="O6" s="9"/>
      <c r="P6" s="9"/>
      <c r="W6" s="9"/>
      <c r="X6" s="9"/>
      <c r="Y6" s="9"/>
    </row>
    <row r="7" spans="1:28" ht="14.5" x14ac:dyDescent="0.35">
      <c r="A7" s="4">
        <v>45664</v>
      </c>
      <c r="B7" s="2" t="s">
        <v>152</v>
      </c>
      <c r="C7" s="2" t="s">
        <v>20</v>
      </c>
      <c r="D7" s="2" t="s">
        <v>8</v>
      </c>
      <c r="E7" s="9">
        <v>4</v>
      </c>
      <c r="F7" s="9">
        <v>520674.58</v>
      </c>
      <c r="G7" s="9">
        <v>520881.06</v>
      </c>
      <c r="I7" s="2">
        <f t="shared" si="0"/>
        <v>206.47999999998137</v>
      </c>
      <c r="J7" s="9">
        <v>12.5</v>
      </c>
      <c r="K7" s="23">
        <f t="shared" si="1"/>
        <v>2580.9999999997672</v>
      </c>
      <c r="M7" s="26"/>
      <c r="N7" s="26"/>
      <c r="O7" s="9"/>
      <c r="P7" s="9"/>
      <c r="W7" s="9"/>
      <c r="X7" s="9"/>
      <c r="Y7" s="9"/>
    </row>
    <row r="8" spans="1:28" ht="14.5" x14ac:dyDescent="0.35">
      <c r="A8" s="27">
        <v>45695</v>
      </c>
      <c r="B8" s="28" t="s">
        <v>182</v>
      </c>
      <c r="C8" s="28" t="s">
        <v>20</v>
      </c>
      <c r="D8" s="28" t="s">
        <v>4</v>
      </c>
      <c r="E8" s="29">
        <v>1</v>
      </c>
      <c r="F8" s="29">
        <v>348291.51</v>
      </c>
      <c r="G8" s="29">
        <v>348552.17</v>
      </c>
      <c r="H8" s="28"/>
      <c r="I8" s="28">
        <f t="shared" si="0"/>
        <v>260.65999999997439</v>
      </c>
      <c r="J8" s="29">
        <v>10.99</v>
      </c>
      <c r="K8" s="30">
        <f t="shared" si="1"/>
        <v>2864.6533999997187</v>
      </c>
      <c r="L8" s="31">
        <f>K8+K9</f>
        <v>10803.719499999872</v>
      </c>
      <c r="M8" s="32">
        <f>K10+K11+K12+K13</f>
        <v>36550.625000000582</v>
      </c>
      <c r="N8" s="33">
        <f>SUM(L8:M8)</f>
        <v>47354.344500000458</v>
      </c>
      <c r="O8" s="29">
        <v>50</v>
      </c>
      <c r="P8" s="29"/>
      <c r="Q8" s="28"/>
      <c r="R8" s="28"/>
      <c r="S8" s="28"/>
      <c r="T8" s="28"/>
      <c r="U8" s="28"/>
      <c r="V8" s="28">
        <v>5802</v>
      </c>
      <c r="W8" s="30">
        <f>N8-O8-P8-Q8-R8-S8-T8-U8-V8</f>
        <v>41502.344500000458</v>
      </c>
      <c r="X8" s="29">
        <v>41503</v>
      </c>
      <c r="Y8" s="30">
        <f>X8-W8</f>
        <v>0.65549999954237137</v>
      </c>
      <c r="Z8" s="28"/>
      <c r="AA8" s="28"/>
      <c r="AB8" s="28"/>
    </row>
    <row r="9" spans="1:28" ht="14.5" x14ac:dyDescent="0.35">
      <c r="A9" s="5">
        <v>45695</v>
      </c>
      <c r="B9" s="2" t="s">
        <v>182</v>
      </c>
      <c r="C9" s="2" t="s">
        <v>20</v>
      </c>
      <c r="D9" s="2" t="s">
        <v>4</v>
      </c>
      <c r="E9" s="9">
        <v>2</v>
      </c>
      <c r="F9" s="9">
        <v>554335.62</v>
      </c>
      <c r="G9" s="9">
        <v>555058.01</v>
      </c>
      <c r="I9" s="2">
        <f t="shared" si="0"/>
        <v>722.39000000001397</v>
      </c>
      <c r="J9" s="9">
        <v>10.99</v>
      </c>
      <c r="K9" s="23">
        <f t="shared" si="1"/>
        <v>7939.0661000001537</v>
      </c>
      <c r="M9" s="26"/>
      <c r="N9" s="26"/>
      <c r="O9" s="9"/>
      <c r="P9" s="9"/>
      <c r="W9" s="9"/>
      <c r="X9" s="9"/>
      <c r="Y9" s="9"/>
    </row>
    <row r="10" spans="1:28" ht="14.5" x14ac:dyDescent="0.35">
      <c r="A10" s="5">
        <v>45695</v>
      </c>
      <c r="B10" s="2" t="s">
        <v>182</v>
      </c>
      <c r="C10" s="2" t="s">
        <v>22</v>
      </c>
      <c r="D10" s="2" t="s">
        <v>8</v>
      </c>
      <c r="E10" s="9">
        <v>1</v>
      </c>
      <c r="F10" s="9">
        <v>283361.49</v>
      </c>
      <c r="G10" s="9">
        <v>283922.28999999998</v>
      </c>
      <c r="I10" s="2">
        <f t="shared" si="0"/>
        <v>560.79999999998836</v>
      </c>
      <c r="J10" s="9">
        <v>12.5</v>
      </c>
      <c r="K10" s="23">
        <f t="shared" si="1"/>
        <v>7009.9999999998545</v>
      </c>
      <c r="M10" s="26"/>
      <c r="N10" s="26"/>
      <c r="O10" s="9"/>
      <c r="P10" s="9"/>
      <c r="W10" s="9"/>
      <c r="X10" s="9"/>
      <c r="Y10" s="9"/>
    </row>
    <row r="11" spans="1:28" ht="14.5" x14ac:dyDescent="0.35">
      <c r="A11" s="5">
        <v>45695</v>
      </c>
      <c r="B11" s="2" t="s">
        <v>182</v>
      </c>
      <c r="C11" s="2" t="s">
        <v>22</v>
      </c>
      <c r="D11" s="2" t="s">
        <v>8</v>
      </c>
      <c r="E11" s="9">
        <v>2</v>
      </c>
      <c r="F11" s="9">
        <v>407559.16</v>
      </c>
      <c r="G11" s="9">
        <v>407983.7</v>
      </c>
      <c r="I11" s="2">
        <f t="shared" si="0"/>
        <v>424.54000000003725</v>
      </c>
      <c r="J11" s="9">
        <v>12.5</v>
      </c>
      <c r="K11" s="23">
        <f t="shared" si="1"/>
        <v>5306.7500000004657</v>
      </c>
      <c r="M11" s="26"/>
      <c r="N11" s="26"/>
      <c r="O11" s="9"/>
      <c r="P11" s="9"/>
      <c r="W11" s="9"/>
      <c r="X11" s="9"/>
      <c r="Y11" s="9"/>
    </row>
    <row r="12" spans="1:28" ht="14.5" x14ac:dyDescent="0.35">
      <c r="A12" s="5">
        <v>45695</v>
      </c>
      <c r="B12" s="2" t="s">
        <v>182</v>
      </c>
      <c r="C12" s="2" t="s">
        <v>22</v>
      </c>
      <c r="D12" s="2" t="s">
        <v>8</v>
      </c>
      <c r="E12" s="9">
        <v>3</v>
      </c>
      <c r="F12" s="9">
        <v>367538.61</v>
      </c>
      <c r="G12" s="9">
        <v>368416.65</v>
      </c>
      <c r="I12" s="2">
        <f t="shared" si="0"/>
        <v>878.04000000003725</v>
      </c>
      <c r="J12" s="9">
        <v>12.5</v>
      </c>
      <c r="K12" s="23">
        <f t="shared" si="1"/>
        <v>10975.500000000466</v>
      </c>
      <c r="M12" s="26"/>
      <c r="N12" s="26"/>
      <c r="O12" s="9"/>
      <c r="P12" s="9"/>
      <c r="W12" s="9"/>
      <c r="X12" s="9"/>
      <c r="Y12" s="9"/>
    </row>
    <row r="13" spans="1:28" ht="14.5" x14ac:dyDescent="0.35">
      <c r="A13" s="5">
        <v>45695</v>
      </c>
      <c r="B13" s="2" t="s">
        <v>182</v>
      </c>
      <c r="C13" s="2" t="s">
        <v>22</v>
      </c>
      <c r="D13" s="2" t="s">
        <v>8</v>
      </c>
      <c r="E13" s="9">
        <v>4</v>
      </c>
      <c r="F13" s="9">
        <v>520881.06</v>
      </c>
      <c r="G13" s="9">
        <v>521941.73</v>
      </c>
      <c r="I13" s="2">
        <f t="shared" si="0"/>
        <v>1060.6699999999837</v>
      </c>
      <c r="J13" s="9">
        <v>12.5</v>
      </c>
      <c r="K13" s="23">
        <f t="shared" si="1"/>
        <v>13258.374999999796</v>
      </c>
      <c r="M13" s="26"/>
      <c r="N13" s="26"/>
      <c r="O13" s="9"/>
      <c r="P13" s="9"/>
      <c r="W13" s="9"/>
      <c r="X13" s="9"/>
      <c r="Y13" s="9"/>
    </row>
    <row r="14" spans="1:28" ht="14.5" x14ac:dyDescent="0.35">
      <c r="A14" s="34">
        <v>45723</v>
      </c>
      <c r="B14" s="35" t="s">
        <v>155</v>
      </c>
      <c r="C14" s="35" t="s">
        <v>16</v>
      </c>
      <c r="D14" s="35" t="s">
        <v>4</v>
      </c>
      <c r="E14" s="36">
        <v>1</v>
      </c>
      <c r="F14" s="36">
        <v>348552.17</v>
      </c>
      <c r="G14" s="36">
        <v>349139.53</v>
      </c>
      <c r="H14" s="35"/>
      <c r="I14" s="35">
        <f t="shared" si="0"/>
        <v>587.36000000004424</v>
      </c>
      <c r="J14" s="36">
        <v>10.99</v>
      </c>
      <c r="K14" s="37">
        <f t="shared" si="1"/>
        <v>6455.0864000004867</v>
      </c>
      <c r="L14" s="38">
        <f>K14+K15</f>
        <v>15000.141100000794</v>
      </c>
      <c r="M14" s="39">
        <f>K16+K17+K18+K19</f>
        <v>38557.125000000087</v>
      </c>
      <c r="N14" s="40">
        <f>SUM(L14:M14)</f>
        <v>53557.266100000881</v>
      </c>
      <c r="O14" s="36"/>
      <c r="P14" s="36"/>
      <c r="Q14" s="35"/>
      <c r="R14" s="35">
        <v>600</v>
      </c>
      <c r="S14" s="35"/>
      <c r="T14" s="35"/>
      <c r="U14" s="35">
        <v>750</v>
      </c>
      <c r="V14" s="35">
        <v>4326</v>
      </c>
      <c r="W14" s="37">
        <f>N14-O14-P14-Q14-R14-S14-T14-U14-V14</f>
        <v>47881.266100000881</v>
      </c>
      <c r="X14" s="36">
        <v>47882</v>
      </c>
      <c r="Y14" s="37">
        <f>X14-W14</f>
        <v>0.73389999911887571</v>
      </c>
      <c r="Z14" s="35"/>
      <c r="AA14" s="35"/>
      <c r="AB14" s="35"/>
    </row>
    <row r="15" spans="1:28" ht="14.5" x14ac:dyDescent="0.35">
      <c r="A15" s="5">
        <v>45723</v>
      </c>
      <c r="B15" s="2" t="s">
        <v>155</v>
      </c>
      <c r="C15" s="2" t="s">
        <v>16</v>
      </c>
      <c r="D15" s="2" t="s">
        <v>4</v>
      </c>
      <c r="E15" s="9">
        <v>2</v>
      </c>
      <c r="F15" s="9">
        <v>555058.01</v>
      </c>
      <c r="G15" s="9">
        <v>555835.54</v>
      </c>
      <c r="I15" s="2">
        <f t="shared" si="0"/>
        <v>777.53000000002794</v>
      </c>
      <c r="J15" s="9">
        <v>10.99</v>
      </c>
      <c r="K15" s="23">
        <f t="shared" si="1"/>
        <v>8545.054700000308</v>
      </c>
      <c r="M15" s="26"/>
      <c r="N15" s="26"/>
      <c r="O15" s="9"/>
      <c r="P15" s="9"/>
      <c r="W15" s="9"/>
      <c r="X15" s="9"/>
      <c r="Y15" s="9"/>
    </row>
    <row r="16" spans="1:28" ht="14.5" x14ac:dyDescent="0.35">
      <c r="A16" s="5">
        <v>45723</v>
      </c>
      <c r="B16" s="2" t="s">
        <v>155</v>
      </c>
      <c r="C16" s="2" t="s">
        <v>16</v>
      </c>
      <c r="D16" s="2" t="s">
        <v>8</v>
      </c>
      <c r="E16" s="9">
        <v>1</v>
      </c>
      <c r="F16" s="9">
        <v>283922.28999999998</v>
      </c>
      <c r="G16" s="9">
        <v>285206.15999999997</v>
      </c>
      <c r="I16" s="2">
        <f t="shared" si="0"/>
        <v>1283.8699999999953</v>
      </c>
      <c r="J16" s="9">
        <v>12.5</v>
      </c>
      <c r="K16" s="23">
        <f t="shared" si="1"/>
        <v>16048.374999999942</v>
      </c>
      <c r="M16" s="26"/>
      <c r="N16" s="26"/>
      <c r="O16" s="9"/>
      <c r="P16" s="9"/>
      <c r="W16" s="9"/>
      <c r="X16" s="9"/>
      <c r="Y16" s="9"/>
    </row>
    <row r="17" spans="1:28" ht="14.5" x14ac:dyDescent="0.35">
      <c r="A17" s="5">
        <v>45723</v>
      </c>
      <c r="B17" s="2" t="s">
        <v>155</v>
      </c>
      <c r="C17" s="2" t="s">
        <v>25</v>
      </c>
      <c r="D17" s="2" t="s">
        <v>8</v>
      </c>
      <c r="E17" s="9">
        <v>2</v>
      </c>
      <c r="F17" s="9">
        <v>407983.7</v>
      </c>
      <c r="G17" s="9">
        <v>408023.7</v>
      </c>
      <c r="I17" s="2">
        <f t="shared" si="0"/>
        <v>40</v>
      </c>
      <c r="J17" s="9">
        <v>12.5</v>
      </c>
      <c r="K17" s="23">
        <f t="shared" si="1"/>
        <v>500</v>
      </c>
      <c r="M17" s="26"/>
      <c r="N17" s="26"/>
      <c r="O17" s="9"/>
      <c r="P17" s="9"/>
      <c r="W17" s="9"/>
      <c r="X17" s="9"/>
      <c r="Y17" s="9"/>
    </row>
    <row r="18" spans="1:28" ht="14.5" x14ac:dyDescent="0.35">
      <c r="A18" s="5">
        <v>45723</v>
      </c>
      <c r="B18" s="2" t="s">
        <v>155</v>
      </c>
      <c r="C18" s="2" t="s">
        <v>25</v>
      </c>
      <c r="D18" s="2" t="s">
        <v>8</v>
      </c>
      <c r="E18" s="9">
        <v>3</v>
      </c>
      <c r="F18" s="9">
        <v>368416.65</v>
      </c>
      <c r="G18" s="9">
        <v>369888.15</v>
      </c>
      <c r="I18" s="2">
        <f t="shared" si="0"/>
        <v>1471.5</v>
      </c>
      <c r="J18" s="9">
        <v>12.5</v>
      </c>
      <c r="K18" s="23">
        <f t="shared" si="1"/>
        <v>18393.75</v>
      </c>
      <c r="M18" s="26"/>
      <c r="N18" s="26"/>
      <c r="O18" s="9"/>
      <c r="P18" s="9"/>
      <c r="W18" s="9"/>
      <c r="X18" s="9"/>
      <c r="Y18" s="9"/>
    </row>
    <row r="19" spans="1:28" ht="14.5" x14ac:dyDescent="0.35">
      <c r="A19" s="5">
        <v>45723</v>
      </c>
      <c r="B19" s="2" t="s">
        <v>155</v>
      </c>
      <c r="C19" s="2" t="s">
        <v>25</v>
      </c>
      <c r="D19" s="2" t="s">
        <v>8</v>
      </c>
      <c r="E19" s="9">
        <v>4</v>
      </c>
      <c r="F19" s="9">
        <v>521941.73</v>
      </c>
      <c r="G19" s="9">
        <v>522230.93</v>
      </c>
      <c r="I19" s="2">
        <f t="shared" si="0"/>
        <v>289.20000000001164</v>
      </c>
      <c r="J19" s="9">
        <v>12.5</v>
      </c>
      <c r="K19" s="23">
        <f t="shared" si="1"/>
        <v>3615.0000000001455</v>
      </c>
      <c r="M19" s="26"/>
      <c r="N19" s="26"/>
      <c r="O19" s="9"/>
      <c r="P19" s="9"/>
      <c r="W19" s="9"/>
      <c r="X19" s="9"/>
      <c r="Y19" s="9"/>
    </row>
    <row r="20" spans="1:28" ht="14.5" x14ac:dyDescent="0.35">
      <c r="A20" s="34">
        <v>45754</v>
      </c>
      <c r="B20" s="35" t="s">
        <v>156</v>
      </c>
      <c r="C20" s="35" t="s">
        <v>25</v>
      </c>
      <c r="D20" s="35" t="s">
        <v>4</v>
      </c>
      <c r="E20" s="36">
        <v>1</v>
      </c>
      <c r="F20" s="36">
        <v>349139.53</v>
      </c>
      <c r="G20" s="36">
        <v>349713.42</v>
      </c>
      <c r="H20" s="35"/>
      <c r="I20" s="35">
        <f t="shared" si="0"/>
        <v>573.88999999995576</v>
      </c>
      <c r="J20" s="36">
        <v>10.99</v>
      </c>
      <c r="K20" s="37">
        <f t="shared" si="1"/>
        <v>6307.051099999514</v>
      </c>
      <c r="L20" s="38">
        <f>K20+K21</f>
        <v>12480.353899999207</v>
      </c>
      <c r="M20" s="39">
        <f>K22+K23+K24+K25</f>
        <v>6707.2565999995768</v>
      </c>
      <c r="N20" s="40">
        <f>SUM(L20:M20)</f>
        <v>19187.610499998784</v>
      </c>
      <c r="O20" s="36"/>
      <c r="P20" s="36"/>
      <c r="Q20" s="35"/>
      <c r="R20" s="35"/>
      <c r="S20" s="35"/>
      <c r="T20" s="35"/>
      <c r="U20" s="35"/>
      <c r="V20" s="35"/>
      <c r="W20" s="37">
        <f>N20-O20-P20-Q20-R20-S20-T20-U20-V20</f>
        <v>19187.610499998784</v>
      </c>
      <c r="X20" s="36">
        <v>19188</v>
      </c>
      <c r="Y20" s="37">
        <f>X20-W20</f>
        <v>0.38950000121621997</v>
      </c>
      <c r="Z20" s="35"/>
      <c r="AA20" s="35"/>
      <c r="AB20" s="35"/>
    </row>
    <row r="21" spans="1:28" ht="15.75" customHeight="1" x14ac:dyDescent="0.35">
      <c r="A21" s="5">
        <v>45754</v>
      </c>
      <c r="B21" s="2" t="s">
        <v>156</v>
      </c>
      <c r="C21" s="2" t="s">
        <v>25</v>
      </c>
      <c r="D21" s="2" t="s">
        <v>4</v>
      </c>
      <c r="E21" s="9">
        <v>2</v>
      </c>
      <c r="F21" s="9">
        <v>555835.54</v>
      </c>
      <c r="G21" s="9">
        <v>556397.26</v>
      </c>
      <c r="I21" s="2">
        <f t="shared" si="0"/>
        <v>561.71999999997206</v>
      </c>
      <c r="J21" s="9">
        <v>10.99</v>
      </c>
      <c r="K21" s="23">
        <f t="shared" si="1"/>
        <v>6173.302799999693</v>
      </c>
      <c r="M21" s="26"/>
      <c r="N21" s="26"/>
      <c r="O21" s="9"/>
      <c r="P21" s="9"/>
      <c r="W21" s="9"/>
      <c r="X21" s="9"/>
      <c r="Y21" s="9"/>
    </row>
    <row r="22" spans="1:28" ht="15.75" customHeight="1" x14ac:dyDescent="0.35">
      <c r="A22" s="5">
        <v>45754</v>
      </c>
      <c r="B22" s="2" t="s">
        <v>156</v>
      </c>
      <c r="C22" s="2" t="s">
        <v>16</v>
      </c>
      <c r="D22" s="2" t="s">
        <v>8</v>
      </c>
      <c r="E22" s="9">
        <v>1</v>
      </c>
      <c r="F22" s="9">
        <v>285206.15999999997</v>
      </c>
      <c r="G22" s="9">
        <v>285282.38</v>
      </c>
      <c r="I22" s="2">
        <f t="shared" si="0"/>
        <v>76.220000000030268</v>
      </c>
      <c r="J22" s="9">
        <v>12.99</v>
      </c>
      <c r="K22" s="23">
        <f t="shared" si="1"/>
        <v>990.09780000039325</v>
      </c>
      <c r="M22" s="26"/>
      <c r="N22" s="26"/>
      <c r="O22" s="9"/>
      <c r="P22" s="9"/>
      <c r="W22" s="9"/>
      <c r="X22" s="9"/>
      <c r="Y22" s="9"/>
    </row>
    <row r="23" spans="1:28" ht="15.75" customHeight="1" x14ac:dyDescent="0.35">
      <c r="A23" s="5">
        <v>45754</v>
      </c>
      <c r="B23" s="2" t="s">
        <v>156</v>
      </c>
      <c r="C23" s="2" t="s">
        <v>16</v>
      </c>
      <c r="D23" s="2" t="s">
        <v>8</v>
      </c>
      <c r="E23" s="9">
        <v>2</v>
      </c>
      <c r="F23" s="9">
        <v>408023.7</v>
      </c>
      <c r="G23" s="9">
        <v>408099.77</v>
      </c>
      <c r="I23" s="2">
        <f t="shared" si="0"/>
        <v>76.070000000006985</v>
      </c>
      <c r="J23" s="9">
        <v>12.99</v>
      </c>
      <c r="K23" s="23">
        <f t="shared" si="1"/>
        <v>988.14930000009076</v>
      </c>
      <c r="M23" s="26"/>
      <c r="N23" s="26"/>
      <c r="O23" s="9"/>
      <c r="P23" s="9"/>
      <c r="W23" s="9"/>
      <c r="X23" s="9"/>
      <c r="Y23" s="9"/>
    </row>
    <row r="24" spans="1:28" ht="15.75" customHeight="1" x14ac:dyDescent="0.35">
      <c r="A24" s="5">
        <v>45754</v>
      </c>
      <c r="B24" s="2" t="s">
        <v>156</v>
      </c>
      <c r="C24" s="2" t="s">
        <v>16</v>
      </c>
      <c r="D24" s="2" t="s">
        <v>8</v>
      </c>
      <c r="E24" s="9">
        <v>3</v>
      </c>
      <c r="F24" s="9">
        <v>369888.15</v>
      </c>
      <c r="G24" s="9">
        <v>369996.72</v>
      </c>
      <c r="I24" s="2">
        <f t="shared" si="0"/>
        <v>108.56999999994878</v>
      </c>
      <c r="J24" s="9">
        <v>12.99</v>
      </c>
      <c r="K24" s="23">
        <f t="shared" si="1"/>
        <v>1410.3242999993347</v>
      </c>
      <c r="M24" s="26"/>
      <c r="N24" s="26"/>
      <c r="O24" s="9"/>
      <c r="P24" s="9"/>
      <c r="W24" s="9"/>
      <c r="X24" s="9"/>
      <c r="Y24" s="9"/>
    </row>
    <row r="25" spans="1:28" ht="15.75" customHeight="1" x14ac:dyDescent="0.35">
      <c r="A25" s="5">
        <v>45754</v>
      </c>
      <c r="B25" s="2" t="s">
        <v>156</v>
      </c>
      <c r="C25" s="2" t="s">
        <v>16</v>
      </c>
      <c r="D25" s="2" t="s">
        <v>8</v>
      </c>
      <c r="E25" s="9">
        <v>4</v>
      </c>
      <c r="F25" s="9">
        <v>522230.93</v>
      </c>
      <c r="G25" s="9">
        <v>522486.41</v>
      </c>
      <c r="I25" s="2">
        <f t="shared" si="0"/>
        <v>255.47999999998137</v>
      </c>
      <c r="J25" s="9">
        <v>12.99</v>
      </c>
      <c r="K25" s="23">
        <f t="shared" si="1"/>
        <v>3318.685199999758</v>
      </c>
      <c r="M25" s="26"/>
      <c r="N25" s="26"/>
      <c r="O25" s="9"/>
      <c r="P25" s="9"/>
      <c r="W25" s="9"/>
      <c r="X25" s="9"/>
      <c r="Y25" s="9"/>
    </row>
    <row r="26" spans="1:28" ht="15.75" customHeight="1" x14ac:dyDescent="0.35">
      <c r="A26" s="27">
        <v>45784</v>
      </c>
      <c r="B26" s="28" t="s">
        <v>183</v>
      </c>
      <c r="C26" s="28" t="s">
        <v>22</v>
      </c>
      <c r="D26" s="28" t="s">
        <v>4</v>
      </c>
      <c r="E26" s="29">
        <v>1</v>
      </c>
      <c r="F26" s="29">
        <v>349713.42</v>
      </c>
      <c r="G26" s="29">
        <v>350037.9</v>
      </c>
      <c r="H26" s="28"/>
      <c r="I26" s="28">
        <f t="shared" si="0"/>
        <v>324.48000000003958</v>
      </c>
      <c r="J26" s="29">
        <v>10.99</v>
      </c>
      <c r="K26" s="30">
        <f t="shared" si="1"/>
        <v>3566.035200000435</v>
      </c>
      <c r="L26" s="31">
        <f>K26+K27</f>
        <v>11327.06329999982</v>
      </c>
      <c r="M26" s="32">
        <f>K28+K29+K30+K31</f>
        <v>3770.8670999997275</v>
      </c>
      <c r="N26" s="33">
        <f>SUM(L26:M26)</f>
        <v>15097.930399999546</v>
      </c>
      <c r="O26" s="29"/>
      <c r="P26" s="29"/>
      <c r="Q26" s="28"/>
      <c r="R26" s="28"/>
      <c r="S26" s="28"/>
      <c r="T26" s="28"/>
      <c r="U26" s="28"/>
      <c r="V26" s="28"/>
      <c r="W26" s="30">
        <f>N26-O26-P26-Q26-R26-S26-T26-U26-V26</f>
        <v>15097.930399999546</v>
      </c>
      <c r="X26" s="29">
        <v>15098</v>
      </c>
      <c r="Y26" s="30">
        <f>X26-W26</f>
        <v>6.9600000453647226E-2</v>
      </c>
      <c r="Z26" s="28"/>
      <c r="AA26" s="28"/>
      <c r="AB26" s="28"/>
    </row>
    <row r="27" spans="1:28" ht="15.75" customHeight="1" x14ac:dyDescent="0.35">
      <c r="A27" s="5">
        <v>45784</v>
      </c>
      <c r="B27" s="2" t="s">
        <v>183</v>
      </c>
      <c r="C27" s="2" t="s">
        <v>22</v>
      </c>
      <c r="D27" s="2" t="s">
        <v>4</v>
      </c>
      <c r="E27" s="9">
        <v>2</v>
      </c>
      <c r="F27" s="9">
        <v>556397.26</v>
      </c>
      <c r="G27" s="9">
        <v>557103.44999999995</v>
      </c>
      <c r="I27" s="2">
        <f t="shared" si="0"/>
        <v>706.18999999994412</v>
      </c>
      <c r="J27" s="9">
        <v>10.99</v>
      </c>
      <c r="K27" s="23">
        <f t="shared" si="1"/>
        <v>7761.0280999993856</v>
      </c>
      <c r="M27" s="26"/>
      <c r="N27" s="26"/>
      <c r="O27" s="9"/>
      <c r="P27" s="9"/>
      <c r="W27" s="9"/>
      <c r="X27" s="9"/>
      <c r="Y27" s="9"/>
    </row>
    <row r="28" spans="1:28" ht="15.75" customHeight="1" x14ac:dyDescent="0.35">
      <c r="A28" s="5">
        <v>45784</v>
      </c>
      <c r="B28" s="2" t="s">
        <v>183</v>
      </c>
      <c r="C28" s="2" t="s">
        <v>20</v>
      </c>
      <c r="D28" s="2" t="s">
        <v>8</v>
      </c>
      <c r="E28" s="9">
        <v>1</v>
      </c>
      <c r="F28" s="9">
        <v>285282.38</v>
      </c>
      <c r="G28" s="9">
        <v>285282.38</v>
      </c>
      <c r="I28" s="2">
        <f t="shared" si="0"/>
        <v>0</v>
      </c>
      <c r="J28" s="9">
        <v>12.99</v>
      </c>
      <c r="K28" s="23">
        <f t="shared" si="1"/>
        <v>0</v>
      </c>
      <c r="M28" s="26"/>
      <c r="N28" s="26"/>
      <c r="O28" s="9"/>
      <c r="P28" s="9"/>
      <c r="W28" s="9"/>
      <c r="X28" s="9"/>
      <c r="Y28" s="9"/>
    </row>
    <row r="29" spans="1:28" ht="15.75" customHeight="1" x14ac:dyDescent="0.35">
      <c r="A29" s="5">
        <v>45784</v>
      </c>
      <c r="B29" s="2" t="s">
        <v>183</v>
      </c>
      <c r="C29" s="2" t="s">
        <v>20</v>
      </c>
      <c r="D29" s="2" t="s">
        <v>8</v>
      </c>
      <c r="E29" s="9">
        <v>2</v>
      </c>
      <c r="F29" s="9">
        <v>408099.77</v>
      </c>
      <c r="G29" s="9">
        <v>408139.81</v>
      </c>
      <c r="I29" s="2">
        <f t="shared" si="0"/>
        <v>40.039999999979045</v>
      </c>
      <c r="J29" s="9">
        <v>12.99</v>
      </c>
      <c r="K29" s="23">
        <f t="shared" si="1"/>
        <v>520.11959999972782</v>
      </c>
      <c r="M29" s="26"/>
      <c r="N29" s="26"/>
      <c r="O29" s="9"/>
      <c r="P29" s="9"/>
      <c r="W29" s="9"/>
      <c r="X29" s="9"/>
      <c r="Y29" s="9"/>
    </row>
    <row r="30" spans="1:28" ht="15.75" customHeight="1" x14ac:dyDescent="0.35">
      <c r="A30" s="5">
        <v>45784</v>
      </c>
      <c r="B30" s="2" t="s">
        <v>183</v>
      </c>
      <c r="C30" s="2" t="s">
        <v>20</v>
      </c>
      <c r="D30" s="2" t="s">
        <v>8</v>
      </c>
      <c r="E30" s="9">
        <v>3</v>
      </c>
      <c r="F30" s="9">
        <v>369996.72</v>
      </c>
      <c r="G30" s="9">
        <v>370140.72</v>
      </c>
      <c r="I30" s="2">
        <f t="shared" si="0"/>
        <v>144</v>
      </c>
      <c r="J30" s="9">
        <v>12.99</v>
      </c>
      <c r="K30" s="23">
        <f t="shared" si="1"/>
        <v>1870.56</v>
      </c>
      <c r="M30" s="26"/>
      <c r="N30" s="26"/>
      <c r="O30" s="9"/>
      <c r="P30" s="9"/>
      <c r="W30" s="9"/>
      <c r="X30" s="9"/>
      <c r="Y30" s="9"/>
    </row>
    <row r="31" spans="1:28" ht="15.75" customHeight="1" x14ac:dyDescent="0.35">
      <c r="A31" s="5">
        <v>45784</v>
      </c>
      <c r="B31" s="2" t="s">
        <v>183</v>
      </c>
      <c r="C31" s="2" t="s">
        <v>20</v>
      </c>
      <c r="D31" s="2" t="s">
        <v>8</v>
      </c>
      <c r="E31" s="9">
        <v>4</v>
      </c>
      <c r="F31" s="9">
        <v>522486.41</v>
      </c>
      <c r="G31" s="9">
        <v>522592.66</v>
      </c>
      <c r="I31" s="2">
        <f t="shared" si="0"/>
        <v>106.25</v>
      </c>
      <c r="J31" s="9">
        <v>12.99</v>
      </c>
      <c r="K31" s="23">
        <f t="shared" si="1"/>
        <v>1380.1875</v>
      </c>
      <c r="M31" s="26"/>
      <c r="N31" s="26"/>
      <c r="O31" s="9"/>
      <c r="P31" s="9"/>
      <c r="W31" s="9"/>
      <c r="X31" s="9"/>
      <c r="Y31" s="9"/>
    </row>
    <row r="32" spans="1:28" ht="15.75" customHeight="1" x14ac:dyDescent="0.35">
      <c r="A32" s="27">
        <v>45815</v>
      </c>
      <c r="B32" s="28" t="s">
        <v>158</v>
      </c>
      <c r="C32" s="28" t="s">
        <v>20</v>
      </c>
      <c r="D32" s="28" t="s">
        <v>4</v>
      </c>
      <c r="E32" s="29">
        <v>1</v>
      </c>
      <c r="F32" s="29">
        <v>350037.9</v>
      </c>
      <c r="G32" s="29">
        <v>350508.35</v>
      </c>
      <c r="H32" s="28"/>
      <c r="I32" s="28">
        <f t="shared" si="0"/>
        <v>470.44999999995343</v>
      </c>
      <c r="J32" s="29">
        <v>10.99</v>
      </c>
      <c r="K32" s="30">
        <f t="shared" si="1"/>
        <v>5170.2454999994879</v>
      </c>
      <c r="L32" s="31">
        <f>K32+K33</f>
        <v>13860.807799999693</v>
      </c>
      <c r="M32" s="32">
        <f>K34+K35+K36+K37</f>
        <v>5106.7587000008161</v>
      </c>
      <c r="N32" s="33">
        <f>SUM(L32:M32)</f>
        <v>18967.56650000051</v>
      </c>
      <c r="O32" s="29">
        <v>50</v>
      </c>
      <c r="P32" s="29">
        <v>891</v>
      </c>
      <c r="Q32" s="28"/>
      <c r="R32" s="28"/>
      <c r="S32" s="28">
        <v>300</v>
      </c>
      <c r="T32" s="28"/>
      <c r="U32" s="28"/>
      <c r="V32" s="28"/>
      <c r="W32" s="30">
        <f>N32-O32-P32-Q32-R32-S32-T32-U32-V32</f>
        <v>17726.56650000051</v>
      </c>
      <c r="X32" s="29">
        <v>17727</v>
      </c>
      <c r="Y32" s="30">
        <f>X32-W32</f>
        <v>0.43349999948986806</v>
      </c>
      <c r="Z32" s="28"/>
      <c r="AA32" s="28"/>
      <c r="AB32" s="28"/>
    </row>
    <row r="33" spans="1:28" ht="15.75" customHeight="1" x14ac:dyDescent="0.35">
      <c r="A33" s="5">
        <v>45815</v>
      </c>
      <c r="B33" s="2" t="s">
        <v>158</v>
      </c>
      <c r="C33" s="2" t="s">
        <v>20</v>
      </c>
      <c r="D33" s="2" t="s">
        <v>4</v>
      </c>
      <c r="E33" s="9">
        <v>2</v>
      </c>
      <c r="F33" s="9">
        <v>557103.44999999995</v>
      </c>
      <c r="G33" s="9">
        <v>557894.22</v>
      </c>
      <c r="I33" s="2">
        <f t="shared" si="0"/>
        <v>790.77000000001863</v>
      </c>
      <c r="J33" s="9">
        <v>10.99</v>
      </c>
      <c r="K33" s="23">
        <f t="shared" si="1"/>
        <v>8690.5623000002051</v>
      </c>
      <c r="M33" s="26"/>
      <c r="N33" s="26"/>
      <c r="O33" s="9"/>
      <c r="P33" s="9"/>
      <c r="W33" s="9"/>
      <c r="X33" s="9"/>
      <c r="Y33" s="9"/>
    </row>
    <row r="34" spans="1:28" ht="15.75" customHeight="1" x14ac:dyDescent="0.35">
      <c r="A34" s="5">
        <v>45815</v>
      </c>
      <c r="B34" s="2" t="s">
        <v>158</v>
      </c>
      <c r="C34" s="2" t="s">
        <v>22</v>
      </c>
      <c r="D34" s="2" t="s">
        <v>8</v>
      </c>
      <c r="E34" s="9">
        <v>1</v>
      </c>
      <c r="F34" s="9">
        <v>285282.38</v>
      </c>
      <c r="G34" s="9">
        <v>285282.38</v>
      </c>
      <c r="I34" s="2">
        <f t="shared" si="0"/>
        <v>0</v>
      </c>
      <c r="J34" s="9">
        <v>12.99</v>
      </c>
      <c r="K34" s="23">
        <f t="shared" si="1"/>
        <v>0</v>
      </c>
      <c r="M34" s="26"/>
      <c r="N34" s="26"/>
      <c r="O34" s="9"/>
      <c r="P34" s="9"/>
      <c r="W34" s="9"/>
      <c r="X34" s="9"/>
      <c r="Y34" s="9"/>
    </row>
    <row r="35" spans="1:28" ht="15.75" customHeight="1" x14ac:dyDescent="0.35">
      <c r="A35" s="5">
        <v>45815</v>
      </c>
      <c r="B35" s="2" t="s">
        <v>158</v>
      </c>
      <c r="C35" s="2" t="s">
        <v>22</v>
      </c>
      <c r="D35" s="2" t="s">
        <v>8</v>
      </c>
      <c r="E35" s="9">
        <v>2</v>
      </c>
      <c r="F35" s="9">
        <v>408139.81</v>
      </c>
      <c r="G35" s="9">
        <v>408155.21</v>
      </c>
      <c r="I35" s="2">
        <f t="shared" si="0"/>
        <v>15.400000000023283</v>
      </c>
      <c r="J35" s="9">
        <v>12.99</v>
      </c>
      <c r="K35" s="23">
        <f t="shared" si="1"/>
        <v>200.04600000030246</v>
      </c>
      <c r="M35" s="26"/>
      <c r="N35" s="26"/>
      <c r="O35" s="9"/>
      <c r="P35" s="9"/>
      <c r="W35" s="9"/>
      <c r="X35" s="9"/>
      <c r="Y35" s="9"/>
    </row>
    <row r="36" spans="1:28" ht="15.75" customHeight="1" x14ac:dyDescent="0.35">
      <c r="A36" s="5">
        <v>45815</v>
      </c>
      <c r="B36" s="2" t="s">
        <v>158</v>
      </c>
      <c r="C36" s="2" t="s">
        <v>22</v>
      </c>
      <c r="D36" s="2" t="s">
        <v>8</v>
      </c>
      <c r="E36" s="9">
        <v>3</v>
      </c>
      <c r="F36" s="9">
        <v>370140.72</v>
      </c>
      <c r="G36" s="9">
        <v>370421.35</v>
      </c>
      <c r="I36" s="2">
        <f t="shared" si="0"/>
        <v>280.63000000000466</v>
      </c>
      <c r="J36" s="9">
        <v>12.99</v>
      </c>
      <c r="K36" s="23">
        <f t="shared" si="1"/>
        <v>3645.3837000000603</v>
      </c>
      <c r="M36" s="26"/>
      <c r="N36" s="26"/>
      <c r="O36" s="9"/>
      <c r="P36" s="9"/>
      <c r="W36" s="9"/>
      <c r="X36" s="9"/>
      <c r="Y36" s="9"/>
    </row>
    <row r="37" spans="1:28" ht="15.75" customHeight="1" x14ac:dyDescent="0.35">
      <c r="A37" s="5">
        <v>45815</v>
      </c>
      <c r="B37" s="2" t="s">
        <v>158</v>
      </c>
      <c r="C37" s="2" t="s">
        <v>22</v>
      </c>
      <c r="D37" s="2" t="s">
        <v>8</v>
      </c>
      <c r="E37" s="9">
        <v>4</v>
      </c>
      <c r="F37" s="9">
        <v>522592.66</v>
      </c>
      <c r="G37" s="9">
        <v>522689.76</v>
      </c>
      <c r="I37" s="2">
        <f t="shared" si="0"/>
        <v>97.100000000034925</v>
      </c>
      <c r="J37" s="9">
        <v>12.99</v>
      </c>
      <c r="K37" s="23">
        <f t="shared" si="1"/>
        <v>1261.3290000004538</v>
      </c>
      <c r="M37" s="26"/>
      <c r="N37" s="26"/>
      <c r="O37" s="9"/>
      <c r="P37" s="9"/>
      <c r="W37" s="9"/>
      <c r="X37" s="9"/>
      <c r="Y37" s="9"/>
    </row>
    <row r="38" spans="1:28" ht="15.75" customHeight="1" x14ac:dyDescent="0.35">
      <c r="A38" s="34">
        <v>45845</v>
      </c>
      <c r="B38" s="35" t="s">
        <v>159</v>
      </c>
      <c r="C38" s="35" t="s">
        <v>16</v>
      </c>
      <c r="D38" s="35" t="s">
        <v>4</v>
      </c>
      <c r="E38" s="36">
        <v>1</v>
      </c>
      <c r="F38" s="36">
        <v>350508.35</v>
      </c>
      <c r="G38" s="36">
        <v>350963.05</v>
      </c>
      <c r="H38" s="35">
        <v>10</v>
      </c>
      <c r="I38" s="35">
        <f t="shared" ref="I38:I187" si="2">G38-F38-H38</f>
        <v>444.70000000001164</v>
      </c>
      <c r="J38" s="36">
        <v>10.99</v>
      </c>
      <c r="K38" s="37">
        <f t="shared" si="1"/>
        <v>4887.2530000001279</v>
      </c>
      <c r="L38" s="38">
        <f>K38+K39</f>
        <v>14562.849000000384</v>
      </c>
      <c r="M38" s="39">
        <f>K40+K41+K42+K43</f>
        <v>12605.88569999991</v>
      </c>
      <c r="N38" s="40">
        <f>SUM(L38:M38)</f>
        <v>27168.734700000292</v>
      </c>
      <c r="O38" s="36">
        <v>50</v>
      </c>
      <c r="P38" s="36"/>
      <c r="Q38" s="35"/>
      <c r="R38" s="35"/>
      <c r="S38" s="35"/>
      <c r="T38" s="35"/>
      <c r="U38" s="35">
        <v>400</v>
      </c>
      <c r="V38" s="35">
        <v>900</v>
      </c>
      <c r="W38" s="37">
        <f>N38-O38-P38-Q38-R38-S38-T38-U38-V38</f>
        <v>25818.734700000292</v>
      </c>
      <c r="X38" s="36">
        <v>25819</v>
      </c>
      <c r="Y38" s="37">
        <f>X38-W38</f>
        <v>0.26529999970807694</v>
      </c>
      <c r="Z38" s="35"/>
      <c r="AA38" s="35"/>
      <c r="AB38" s="35"/>
    </row>
    <row r="39" spans="1:28" ht="15.75" customHeight="1" x14ac:dyDescent="0.35">
      <c r="A39" s="5">
        <v>45845</v>
      </c>
      <c r="B39" s="2" t="s">
        <v>159</v>
      </c>
      <c r="C39" s="2" t="s">
        <v>16</v>
      </c>
      <c r="D39" s="2" t="s">
        <v>4</v>
      </c>
      <c r="E39" s="9">
        <v>2</v>
      </c>
      <c r="F39" s="9">
        <v>557894.22</v>
      </c>
      <c r="G39" s="9">
        <v>558784.62</v>
      </c>
      <c r="H39" s="2">
        <v>10</v>
      </c>
      <c r="I39" s="41">
        <f t="shared" si="2"/>
        <v>880.40000000002328</v>
      </c>
      <c r="J39" s="42">
        <v>10.99</v>
      </c>
      <c r="K39" s="43">
        <f t="shared" si="1"/>
        <v>9675.596000000256</v>
      </c>
      <c r="M39" s="26"/>
      <c r="N39" s="26"/>
      <c r="O39" s="9"/>
      <c r="P39" s="9"/>
      <c r="W39" s="9"/>
      <c r="X39" s="9"/>
      <c r="Y39" s="9"/>
    </row>
    <row r="40" spans="1:28" ht="15.75" customHeight="1" x14ac:dyDescent="0.35">
      <c r="A40" s="5">
        <v>45845</v>
      </c>
      <c r="B40" s="2" t="s">
        <v>159</v>
      </c>
      <c r="C40" s="2" t="s">
        <v>16</v>
      </c>
      <c r="D40" s="2" t="s">
        <v>8</v>
      </c>
      <c r="E40" s="9">
        <v>1</v>
      </c>
      <c r="F40" s="9">
        <v>285282.38</v>
      </c>
      <c r="G40" s="9">
        <v>285376</v>
      </c>
      <c r="H40" s="2">
        <v>10</v>
      </c>
      <c r="I40" s="41">
        <f t="shared" si="2"/>
        <v>83.619999999995343</v>
      </c>
      <c r="J40" s="42">
        <v>12.99</v>
      </c>
      <c r="K40" s="43">
        <f t="shared" si="1"/>
        <v>1086.2237999999395</v>
      </c>
      <c r="M40" s="26"/>
      <c r="N40" s="26"/>
      <c r="O40" s="9"/>
      <c r="P40" s="9"/>
      <c r="W40" s="9"/>
      <c r="X40" s="9"/>
      <c r="Y40" s="9"/>
    </row>
    <row r="41" spans="1:28" ht="15.75" customHeight="1" x14ac:dyDescent="0.35">
      <c r="A41" s="5">
        <v>45845</v>
      </c>
      <c r="B41" s="2" t="s">
        <v>159</v>
      </c>
      <c r="C41" s="2" t="s">
        <v>25</v>
      </c>
      <c r="D41" s="2" t="s">
        <v>8</v>
      </c>
      <c r="E41" s="9">
        <v>2</v>
      </c>
      <c r="F41" s="9">
        <v>408155.21</v>
      </c>
      <c r="G41" s="9">
        <v>408221.82</v>
      </c>
      <c r="H41" s="2">
        <v>10</v>
      </c>
      <c r="I41" s="41">
        <f t="shared" si="2"/>
        <v>56.60999999998603</v>
      </c>
      <c r="J41" s="42">
        <v>12.99</v>
      </c>
      <c r="K41" s="43">
        <f t="shared" si="1"/>
        <v>735.3638999998185</v>
      </c>
      <c r="M41" s="26"/>
      <c r="N41" s="26"/>
      <c r="O41" s="9"/>
      <c r="P41" s="9"/>
      <c r="W41" s="9"/>
      <c r="X41" s="9"/>
      <c r="Y41" s="9"/>
    </row>
    <row r="42" spans="1:28" ht="15.75" customHeight="1" x14ac:dyDescent="0.35">
      <c r="A42" s="5">
        <v>45845</v>
      </c>
      <c r="B42" s="2" t="s">
        <v>159</v>
      </c>
      <c r="C42" s="2" t="s">
        <v>25</v>
      </c>
      <c r="D42" s="2" t="s">
        <v>8</v>
      </c>
      <c r="E42" s="9">
        <v>3</v>
      </c>
      <c r="F42" s="9">
        <v>370421.35</v>
      </c>
      <c r="G42" s="9">
        <v>370914.65</v>
      </c>
      <c r="H42" s="2">
        <v>10</v>
      </c>
      <c r="I42" s="41">
        <f t="shared" si="2"/>
        <v>483.30000000004657</v>
      </c>
      <c r="J42" s="42">
        <v>12.99</v>
      </c>
      <c r="K42" s="43">
        <f t="shared" si="1"/>
        <v>6278.0670000006048</v>
      </c>
      <c r="M42" s="26"/>
      <c r="N42" s="26"/>
      <c r="O42" s="9"/>
      <c r="P42" s="9"/>
      <c r="W42" s="9"/>
      <c r="X42" s="9"/>
      <c r="Y42" s="9"/>
    </row>
    <row r="43" spans="1:28" ht="15.75" customHeight="1" x14ac:dyDescent="0.35">
      <c r="A43" s="5">
        <v>45845</v>
      </c>
      <c r="B43" s="2" t="s">
        <v>159</v>
      </c>
      <c r="C43" s="2" t="s">
        <v>25</v>
      </c>
      <c r="D43" s="2" t="s">
        <v>8</v>
      </c>
      <c r="E43" s="9">
        <v>4</v>
      </c>
      <c r="F43" s="9">
        <v>522689.76</v>
      </c>
      <c r="G43" s="9">
        <v>523046.66</v>
      </c>
      <c r="H43" s="2">
        <v>10</v>
      </c>
      <c r="I43" s="41">
        <f t="shared" si="2"/>
        <v>346.89999999996508</v>
      </c>
      <c r="J43" s="42">
        <v>12.99</v>
      </c>
      <c r="K43" s="43">
        <f t="shared" si="1"/>
        <v>4506.2309999995468</v>
      </c>
      <c r="M43" s="26"/>
      <c r="N43" s="26"/>
      <c r="O43" s="9"/>
      <c r="P43" s="9"/>
      <c r="W43" s="9"/>
      <c r="X43" s="9"/>
      <c r="Y43" s="9"/>
    </row>
    <row r="44" spans="1:28" ht="15.75" customHeight="1" x14ac:dyDescent="0.35">
      <c r="A44" s="34">
        <v>45876</v>
      </c>
      <c r="B44" s="35" t="s">
        <v>152</v>
      </c>
      <c r="C44" s="35" t="s">
        <v>25</v>
      </c>
      <c r="D44" s="35" t="s">
        <v>4</v>
      </c>
      <c r="E44" s="36">
        <v>1</v>
      </c>
      <c r="F44" s="36">
        <v>350963.05</v>
      </c>
      <c r="G44" s="36">
        <v>351281.48</v>
      </c>
      <c r="H44" s="35"/>
      <c r="I44" s="35">
        <f t="shared" si="2"/>
        <v>318.42999999999302</v>
      </c>
      <c r="J44" s="36">
        <v>11.6</v>
      </c>
      <c r="K44" s="37">
        <f t="shared" si="1"/>
        <v>3693.7879999999191</v>
      </c>
      <c r="L44" s="38">
        <f>K44+K45</f>
        <v>9210.6319999995412</v>
      </c>
      <c r="M44" s="39">
        <f>K46+K47+K48+K49</f>
        <v>21172.931999999353</v>
      </c>
      <c r="N44" s="40">
        <f>SUM(L44:M44)</f>
        <v>30383.563999998893</v>
      </c>
      <c r="O44" s="36">
        <v>50</v>
      </c>
      <c r="P44" s="36"/>
      <c r="Q44" s="35"/>
      <c r="R44" s="35"/>
      <c r="S44" s="35"/>
      <c r="T44" s="35"/>
      <c r="U44" s="35">
        <v>500</v>
      </c>
      <c r="V44" s="35"/>
      <c r="W44" s="37">
        <f>N44-O44-P44-Q44-R44-S44-T44-U44-V44</f>
        <v>29833.563999998893</v>
      </c>
      <c r="X44" s="36">
        <v>29834</v>
      </c>
      <c r="Y44" s="37">
        <f>X44-W44</f>
        <v>0.43600000110745896</v>
      </c>
      <c r="Z44" s="35"/>
      <c r="AA44" s="35"/>
      <c r="AB44" s="35"/>
    </row>
    <row r="45" spans="1:28" ht="15.75" customHeight="1" x14ac:dyDescent="0.35">
      <c r="A45" s="5">
        <v>45876</v>
      </c>
      <c r="B45" s="2" t="s">
        <v>152</v>
      </c>
      <c r="C45" s="2" t="s">
        <v>25</v>
      </c>
      <c r="D45" s="2" t="s">
        <v>8</v>
      </c>
      <c r="E45" s="9">
        <v>2</v>
      </c>
      <c r="F45" s="9">
        <v>558784.62</v>
      </c>
      <c r="G45" s="9">
        <v>559260.21</v>
      </c>
      <c r="I45" s="41">
        <f t="shared" si="2"/>
        <v>475.5899999999674</v>
      </c>
      <c r="J45" s="42">
        <v>11.6</v>
      </c>
      <c r="K45" s="43">
        <f t="shared" si="1"/>
        <v>5516.8439999996217</v>
      </c>
      <c r="M45" s="26"/>
      <c r="N45" s="26"/>
      <c r="O45" s="9"/>
      <c r="P45" s="9"/>
      <c r="W45" s="9"/>
      <c r="X45" s="9"/>
      <c r="Y45" s="9"/>
    </row>
    <row r="46" spans="1:28" ht="15.75" customHeight="1" x14ac:dyDescent="0.35">
      <c r="A46" s="5">
        <v>45876</v>
      </c>
      <c r="B46" s="2" t="s">
        <v>152</v>
      </c>
      <c r="C46" s="2" t="s">
        <v>16</v>
      </c>
      <c r="D46" s="2" t="s">
        <v>8</v>
      </c>
      <c r="E46" s="9">
        <v>1</v>
      </c>
      <c r="F46" s="9">
        <v>285376</v>
      </c>
      <c r="G46" s="9">
        <v>285638.90999999997</v>
      </c>
      <c r="I46" s="41">
        <f t="shared" si="2"/>
        <v>262.90999999997439</v>
      </c>
      <c r="J46" s="42">
        <v>13.2</v>
      </c>
      <c r="K46" s="43">
        <f t="shared" si="1"/>
        <v>3470.4119999996619</v>
      </c>
      <c r="M46" s="26"/>
      <c r="N46" s="26"/>
      <c r="O46" s="9"/>
      <c r="P46" s="9"/>
      <c r="W46" s="9"/>
      <c r="X46" s="9"/>
      <c r="Y46" s="9"/>
    </row>
    <row r="47" spans="1:28" ht="15.75" customHeight="1" x14ac:dyDescent="0.35">
      <c r="A47" s="5">
        <v>45876</v>
      </c>
      <c r="B47" s="2" t="s">
        <v>152</v>
      </c>
      <c r="C47" s="2" t="s">
        <v>16</v>
      </c>
      <c r="D47" s="2" t="s">
        <v>8</v>
      </c>
      <c r="E47" s="9">
        <v>2</v>
      </c>
      <c r="F47" s="9">
        <v>408221.82</v>
      </c>
      <c r="G47" s="9">
        <v>408895.35</v>
      </c>
      <c r="I47" s="41">
        <f t="shared" si="2"/>
        <v>673.52999999996973</v>
      </c>
      <c r="J47" s="42">
        <v>13.2</v>
      </c>
      <c r="K47" s="43">
        <f t="shared" si="1"/>
        <v>8890.5959999995994</v>
      </c>
      <c r="M47" s="26"/>
      <c r="N47" s="26"/>
      <c r="O47" s="9"/>
      <c r="P47" s="9"/>
      <c r="W47" s="9"/>
      <c r="X47" s="9"/>
      <c r="Y47" s="9"/>
    </row>
    <row r="48" spans="1:28" ht="15.75" customHeight="1" x14ac:dyDescent="0.35">
      <c r="A48" s="5">
        <v>45876</v>
      </c>
      <c r="B48" s="2" t="s">
        <v>152</v>
      </c>
      <c r="C48" s="2" t="s">
        <v>16</v>
      </c>
      <c r="D48" s="2" t="s">
        <v>8</v>
      </c>
      <c r="E48" s="9">
        <v>3</v>
      </c>
      <c r="F48" s="9">
        <v>370914.65</v>
      </c>
      <c r="G48" s="9">
        <v>371451.08</v>
      </c>
      <c r="I48" s="41">
        <f t="shared" si="2"/>
        <v>536.42999999999302</v>
      </c>
      <c r="J48" s="42">
        <v>13.2</v>
      </c>
      <c r="K48" s="43">
        <f t="shared" si="1"/>
        <v>7080.8759999999074</v>
      </c>
      <c r="M48" s="26"/>
      <c r="N48" s="26"/>
      <c r="O48" s="9"/>
      <c r="P48" s="9"/>
      <c r="W48" s="9"/>
      <c r="X48" s="9"/>
      <c r="Y48" s="9"/>
    </row>
    <row r="49" spans="1:28" ht="15.75" customHeight="1" x14ac:dyDescent="0.35">
      <c r="A49" s="5">
        <v>45876</v>
      </c>
      <c r="B49" s="2" t="s">
        <v>152</v>
      </c>
      <c r="C49" s="2" t="s">
        <v>16</v>
      </c>
      <c r="D49" s="2" t="s">
        <v>8</v>
      </c>
      <c r="E49" s="9">
        <v>4</v>
      </c>
      <c r="F49" s="9">
        <v>523046.66</v>
      </c>
      <c r="G49" s="9">
        <v>523177.8</v>
      </c>
      <c r="I49" s="41">
        <f t="shared" si="2"/>
        <v>131.14000000001397</v>
      </c>
      <c r="J49" s="42">
        <v>13.2</v>
      </c>
      <c r="K49" s="43">
        <f t="shared" si="1"/>
        <v>1731.0480000001844</v>
      </c>
      <c r="M49" s="26"/>
      <c r="N49" s="26"/>
      <c r="O49" s="9"/>
      <c r="P49" s="9"/>
      <c r="W49" s="9"/>
      <c r="X49" s="9"/>
      <c r="Y49" s="9"/>
    </row>
    <row r="50" spans="1:28" ht="15.75" customHeight="1" x14ac:dyDescent="0.35">
      <c r="A50" s="27">
        <v>45907</v>
      </c>
      <c r="B50" s="28" t="s">
        <v>182</v>
      </c>
      <c r="C50" s="28" t="s">
        <v>22</v>
      </c>
      <c r="D50" s="28" t="s">
        <v>4</v>
      </c>
      <c r="E50" s="29">
        <v>1</v>
      </c>
      <c r="F50" s="29">
        <v>351281.48</v>
      </c>
      <c r="G50" s="29">
        <v>351819.42</v>
      </c>
      <c r="H50" s="28"/>
      <c r="I50" s="28">
        <f t="shared" si="2"/>
        <v>537.94000000000233</v>
      </c>
      <c r="J50" s="29">
        <v>11.6</v>
      </c>
      <c r="K50" s="30">
        <f t="shared" si="1"/>
        <v>6240.1040000000266</v>
      </c>
      <c r="L50" s="31">
        <f>K50+K51</f>
        <v>14402.328000000189</v>
      </c>
      <c r="M50" s="32">
        <f>K52+K53+K54+K55</f>
        <v>14037.408000000798</v>
      </c>
      <c r="N50" s="33">
        <f>SUM(L50:M50)</f>
        <v>28439.736000000987</v>
      </c>
      <c r="O50" s="29">
        <v>50</v>
      </c>
      <c r="P50" s="29"/>
      <c r="Q50" s="28"/>
      <c r="R50" s="28"/>
      <c r="S50" s="28"/>
      <c r="T50" s="28"/>
      <c r="U50" s="28"/>
      <c r="V50" s="28">
        <v>4578</v>
      </c>
      <c r="W50" s="30">
        <f>N50-O50-P50-Q50-R50-S50-T50-U50-V50</f>
        <v>23811.736000000987</v>
      </c>
      <c r="X50" s="29">
        <v>23833</v>
      </c>
      <c r="Y50" s="30">
        <f>X50-W50</f>
        <v>21.263999999013322</v>
      </c>
      <c r="Z50" s="28"/>
      <c r="AA50" s="28"/>
      <c r="AB50" s="28"/>
    </row>
    <row r="51" spans="1:28" ht="15.75" customHeight="1" x14ac:dyDescent="0.35">
      <c r="A51" s="5">
        <v>45907</v>
      </c>
      <c r="B51" s="2" t="s">
        <v>182</v>
      </c>
      <c r="C51" s="2" t="s">
        <v>22</v>
      </c>
      <c r="D51" s="2" t="s">
        <v>4</v>
      </c>
      <c r="E51" s="9">
        <v>2</v>
      </c>
      <c r="F51" s="9">
        <v>559260.21</v>
      </c>
      <c r="G51" s="9">
        <v>559963.85</v>
      </c>
      <c r="I51" s="41">
        <f t="shared" si="2"/>
        <v>703.64000000001397</v>
      </c>
      <c r="J51" s="42">
        <v>11.6</v>
      </c>
      <c r="K51" s="43">
        <f t="shared" si="1"/>
        <v>8162.2240000001621</v>
      </c>
      <c r="M51" s="26"/>
      <c r="N51" s="26"/>
      <c r="O51" s="9"/>
      <c r="P51" s="9"/>
      <c r="W51" s="9"/>
      <c r="X51" s="9"/>
      <c r="Y51" s="9"/>
    </row>
    <row r="52" spans="1:28" ht="15.75" customHeight="1" x14ac:dyDescent="0.35">
      <c r="A52" s="5">
        <v>45907</v>
      </c>
      <c r="B52" s="2" t="s">
        <v>182</v>
      </c>
      <c r="C52" s="2" t="s">
        <v>20</v>
      </c>
      <c r="D52" s="2" t="s">
        <v>8</v>
      </c>
      <c r="E52" s="9">
        <v>1</v>
      </c>
      <c r="F52" s="9">
        <v>285638.90999999997</v>
      </c>
      <c r="G52" s="9">
        <v>285807.71000000002</v>
      </c>
      <c r="I52" s="41">
        <f t="shared" si="2"/>
        <v>168.80000000004657</v>
      </c>
      <c r="J52" s="42">
        <v>13.2</v>
      </c>
      <c r="K52" s="43">
        <f t="shared" si="1"/>
        <v>2228.1600000006147</v>
      </c>
      <c r="M52" s="26"/>
      <c r="N52" s="26"/>
      <c r="O52" s="9"/>
      <c r="P52" s="9"/>
      <c r="W52" s="9"/>
      <c r="X52" s="9"/>
      <c r="Y52" s="9"/>
    </row>
    <row r="53" spans="1:28" ht="15.75" customHeight="1" x14ac:dyDescent="0.35">
      <c r="A53" s="5">
        <v>45907</v>
      </c>
      <c r="B53" s="2" t="s">
        <v>182</v>
      </c>
      <c r="C53" s="2" t="s">
        <v>20</v>
      </c>
      <c r="D53" s="2" t="s">
        <v>8</v>
      </c>
      <c r="E53" s="9">
        <v>2</v>
      </c>
      <c r="F53" s="9">
        <v>408895.35</v>
      </c>
      <c r="G53" s="9">
        <v>409269.45</v>
      </c>
      <c r="I53" s="41">
        <f t="shared" si="2"/>
        <v>374.10000000003492</v>
      </c>
      <c r="J53" s="42">
        <v>13.2</v>
      </c>
      <c r="K53" s="43">
        <f t="shared" si="1"/>
        <v>4938.120000000461</v>
      </c>
      <c r="M53" s="26"/>
      <c r="N53" s="26"/>
      <c r="O53" s="9"/>
      <c r="P53" s="9"/>
      <c r="W53" s="9"/>
      <c r="X53" s="9"/>
      <c r="Y53" s="9"/>
    </row>
    <row r="54" spans="1:28" ht="15.75" customHeight="1" x14ac:dyDescent="0.35">
      <c r="A54" s="5">
        <v>45907</v>
      </c>
      <c r="B54" s="2" t="s">
        <v>182</v>
      </c>
      <c r="C54" s="2" t="s">
        <v>20</v>
      </c>
      <c r="D54" s="2" t="s">
        <v>8</v>
      </c>
      <c r="E54" s="9">
        <v>3</v>
      </c>
      <c r="F54" s="9">
        <v>371451.08</v>
      </c>
      <c r="G54" s="9">
        <v>371861.69</v>
      </c>
      <c r="I54" s="41">
        <f t="shared" si="2"/>
        <v>410.60999999998603</v>
      </c>
      <c r="J54" s="42">
        <v>13.2</v>
      </c>
      <c r="K54" s="43">
        <f t="shared" si="1"/>
        <v>5420.0519999998151</v>
      </c>
      <c r="M54" s="26"/>
      <c r="N54" s="26"/>
      <c r="O54" s="9"/>
      <c r="P54" s="9"/>
      <c r="W54" s="9"/>
      <c r="X54" s="9"/>
      <c r="Y54" s="9"/>
    </row>
    <row r="55" spans="1:28" ht="15.75" customHeight="1" x14ac:dyDescent="0.35">
      <c r="A55" s="5">
        <v>45907</v>
      </c>
      <c r="B55" s="2" t="s">
        <v>182</v>
      </c>
      <c r="C55" s="2" t="s">
        <v>20</v>
      </c>
      <c r="D55" s="2" t="s">
        <v>8</v>
      </c>
      <c r="E55" s="9">
        <v>4</v>
      </c>
      <c r="F55" s="9">
        <v>523177.8</v>
      </c>
      <c r="G55" s="9">
        <v>523287.73</v>
      </c>
      <c r="I55" s="41">
        <f t="shared" si="2"/>
        <v>109.92999999999302</v>
      </c>
      <c r="J55" s="42">
        <v>13.2</v>
      </c>
      <c r="K55" s="43">
        <f t="shared" si="1"/>
        <v>1451.0759999999077</v>
      </c>
      <c r="M55" s="26"/>
      <c r="N55" s="26"/>
      <c r="O55" s="9"/>
      <c r="P55" s="9"/>
      <c r="W55" s="9"/>
      <c r="X55" s="9"/>
      <c r="Y55" s="9"/>
    </row>
    <row r="56" spans="1:28" ht="15.75" customHeight="1" x14ac:dyDescent="0.35">
      <c r="A56" s="27">
        <v>45937</v>
      </c>
      <c r="B56" s="28" t="s">
        <v>155</v>
      </c>
      <c r="C56" s="28" t="s">
        <v>20</v>
      </c>
      <c r="D56" s="28" t="s">
        <v>4</v>
      </c>
      <c r="E56" s="29">
        <v>1</v>
      </c>
      <c r="F56" s="29">
        <v>351819.42</v>
      </c>
      <c r="G56" s="29">
        <v>352093.58</v>
      </c>
      <c r="H56" s="28"/>
      <c r="I56" s="28">
        <f t="shared" si="2"/>
        <v>274.1600000000326</v>
      </c>
      <c r="J56" s="29">
        <v>11.6</v>
      </c>
      <c r="K56" s="30">
        <f t="shared" si="1"/>
        <v>3180.2560000003782</v>
      </c>
      <c r="L56" s="31">
        <f>K56+K57</f>
        <v>11550.584000001241</v>
      </c>
      <c r="M56" s="32">
        <f>K58+K59+K60+K61</f>
        <v>8369.7239999993235</v>
      </c>
      <c r="N56" s="33">
        <f>SUM(L56:M56)</f>
        <v>19920.308000000565</v>
      </c>
      <c r="O56" s="29">
        <v>50</v>
      </c>
      <c r="P56" s="29"/>
      <c r="Q56" s="28"/>
      <c r="R56" s="28"/>
      <c r="S56" s="28"/>
      <c r="T56" s="28"/>
      <c r="U56" s="28"/>
      <c r="V56" s="28"/>
      <c r="W56" s="30">
        <f>N56-O56-P56-Q56-R56-S56-T56-U56-V56</f>
        <v>19870.308000000565</v>
      </c>
      <c r="X56" s="29">
        <v>19871</v>
      </c>
      <c r="Y56" s="30">
        <f>X56-W56</f>
        <v>0.69199999943521107</v>
      </c>
      <c r="Z56" s="28"/>
      <c r="AA56" s="28"/>
      <c r="AB56" s="28"/>
    </row>
    <row r="57" spans="1:28" ht="15.75" customHeight="1" x14ac:dyDescent="0.35">
      <c r="A57" s="5">
        <v>45937</v>
      </c>
      <c r="B57" s="2" t="s">
        <v>155</v>
      </c>
      <c r="C57" s="2" t="s">
        <v>20</v>
      </c>
      <c r="D57" s="2" t="s">
        <v>4</v>
      </c>
      <c r="E57" s="9">
        <v>2</v>
      </c>
      <c r="F57" s="9">
        <v>559963.85</v>
      </c>
      <c r="G57" s="9">
        <v>560685.43000000005</v>
      </c>
      <c r="I57" s="41">
        <f t="shared" si="2"/>
        <v>721.58000000007451</v>
      </c>
      <c r="J57" s="42">
        <v>11.6</v>
      </c>
      <c r="K57" s="43">
        <f t="shared" si="1"/>
        <v>8370.3280000008635</v>
      </c>
      <c r="M57" s="26"/>
      <c r="N57" s="26"/>
      <c r="O57" s="9"/>
      <c r="P57" s="9"/>
      <c r="W57" s="9"/>
      <c r="X57" s="9"/>
      <c r="Y57" s="9"/>
    </row>
    <row r="58" spans="1:28" ht="15.75" customHeight="1" x14ac:dyDescent="0.35">
      <c r="A58" s="5">
        <v>45937</v>
      </c>
      <c r="B58" s="2" t="s">
        <v>155</v>
      </c>
      <c r="C58" s="2" t="s">
        <v>22</v>
      </c>
      <c r="D58" s="2" t="s">
        <v>8</v>
      </c>
      <c r="E58" s="9">
        <v>1</v>
      </c>
      <c r="F58" s="9">
        <v>285807.71000000002</v>
      </c>
      <c r="G58" s="9">
        <v>285866.82</v>
      </c>
      <c r="I58" s="41">
        <f t="shared" si="2"/>
        <v>59.10999999998603</v>
      </c>
      <c r="J58" s="42">
        <v>13.2</v>
      </c>
      <c r="K58" s="43">
        <f t="shared" si="1"/>
        <v>780.25199999981555</v>
      </c>
      <c r="M58" s="26"/>
      <c r="N58" s="26"/>
      <c r="O58" s="9"/>
      <c r="P58" s="9"/>
      <c r="W58" s="9"/>
      <c r="X58" s="9"/>
      <c r="Y58" s="9"/>
    </row>
    <row r="59" spans="1:28" ht="15.75" customHeight="1" x14ac:dyDescent="0.35">
      <c r="A59" s="5">
        <v>45937</v>
      </c>
      <c r="B59" s="2" t="s">
        <v>155</v>
      </c>
      <c r="C59" s="2" t="s">
        <v>22</v>
      </c>
      <c r="D59" s="2" t="s">
        <v>8</v>
      </c>
      <c r="E59" s="9">
        <v>2</v>
      </c>
      <c r="F59" s="9">
        <v>409269.45</v>
      </c>
      <c r="G59" s="9">
        <v>409370.61</v>
      </c>
      <c r="I59" s="41">
        <f t="shared" si="2"/>
        <v>101.15999999997439</v>
      </c>
      <c r="J59" s="42">
        <v>13.2</v>
      </c>
      <c r="K59" s="43">
        <f t="shared" si="1"/>
        <v>1335.3119999996618</v>
      </c>
      <c r="M59" s="26"/>
      <c r="N59" s="26"/>
      <c r="O59" s="9"/>
      <c r="P59" s="9"/>
      <c r="W59" s="9"/>
      <c r="X59" s="9"/>
      <c r="Y59" s="9"/>
    </row>
    <row r="60" spans="1:28" ht="15.75" customHeight="1" x14ac:dyDescent="0.35">
      <c r="A60" s="5">
        <v>45937</v>
      </c>
      <c r="B60" s="2" t="s">
        <v>155</v>
      </c>
      <c r="C60" s="2" t="s">
        <v>22</v>
      </c>
      <c r="D60" s="2" t="s">
        <v>8</v>
      </c>
      <c r="E60" s="9">
        <v>3</v>
      </c>
      <c r="F60" s="9">
        <v>371861.69</v>
      </c>
      <c r="G60" s="9">
        <v>372262.5</v>
      </c>
      <c r="I60" s="41">
        <f t="shared" si="2"/>
        <v>400.80999999999767</v>
      </c>
      <c r="J60" s="42">
        <v>13.2</v>
      </c>
      <c r="K60" s="43">
        <f t="shared" si="1"/>
        <v>5290.6919999999691</v>
      </c>
      <c r="M60" s="26"/>
      <c r="N60" s="26"/>
      <c r="O60" s="9"/>
      <c r="P60" s="9"/>
      <c r="W60" s="9"/>
      <c r="X60" s="9"/>
      <c r="Y60" s="9"/>
    </row>
    <row r="61" spans="1:28" ht="15.75" customHeight="1" x14ac:dyDescent="0.35">
      <c r="A61" s="5">
        <v>45937</v>
      </c>
      <c r="B61" s="2" t="s">
        <v>155</v>
      </c>
      <c r="C61" s="2" t="s">
        <v>22</v>
      </c>
      <c r="D61" s="2" t="s">
        <v>8</v>
      </c>
      <c r="E61" s="9">
        <v>4</v>
      </c>
      <c r="F61" s="9">
        <v>523287.73</v>
      </c>
      <c r="G61" s="9">
        <v>523360.72</v>
      </c>
      <c r="I61" s="41">
        <f t="shared" si="2"/>
        <v>72.989999999990687</v>
      </c>
      <c r="J61" s="42">
        <v>13.2</v>
      </c>
      <c r="K61" s="43">
        <f t="shared" si="1"/>
        <v>963.46799999987707</v>
      </c>
      <c r="M61" s="26"/>
      <c r="N61" s="26"/>
      <c r="O61" s="9"/>
      <c r="P61" s="9"/>
      <c r="W61" s="9"/>
      <c r="X61" s="9"/>
      <c r="Y61" s="9"/>
    </row>
    <row r="62" spans="1:28" ht="15.75" customHeight="1" x14ac:dyDescent="0.35">
      <c r="A62" s="34">
        <v>45968</v>
      </c>
      <c r="B62" s="35" t="s">
        <v>156</v>
      </c>
      <c r="C62" s="35" t="s">
        <v>16</v>
      </c>
      <c r="D62" s="35" t="s">
        <v>4</v>
      </c>
      <c r="E62" s="36">
        <v>1</v>
      </c>
      <c r="F62" s="36">
        <v>352093.58</v>
      </c>
      <c r="G62" s="36">
        <v>352682.88</v>
      </c>
      <c r="H62" s="35"/>
      <c r="I62" s="35">
        <f t="shared" si="2"/>
        <v>589.29999999998836</v>
      </c>
      <c r="J62" s="36">
        <v>11.6</v>
      </c>
      <c r="K62" s="37">
        <f t="shared" si="1"/>
        <v>6835.8799999998646</v>
      </c>
      <c r="L62" s="38">
        <f>K62+K63</f>
        <v>16975.20799999938</v>
      </c>
      <c r="M62" s="39">
        <f>K64+K65+K66+K67</f>
        <v>6608.8440000005539</v>
      </c>
      <c r="N62" s="40">
        <f>SUM(L62:M62)</f>
        <v>23584.051999999934</v>
      </c>
      <c r="O62" s="36"/>
      <c r="P62" s="36"/>
      <c r="Q62" s="35">
        <v>10862</v>
      </c>
      <c r="R62" s="35"/>
      <c r="S62" s="35"/>
      <c r="T62" s="35"/>
      <c r="U62" s="35"/>
      <c r="V62" s="35"/>
      <c r="W62" s="37">
        <f>N62-O62-P62-Q62-R62-S62-T62-U62-V62</f>
        <v>12722.051999999934</v>
      </c>
      <c r="X62" s="36">
        <v>12723</v>
      </c>
      <c r="Y62" s="37">
        <f>X62-W62</f>
        <v>0.94800000006580376</v>
      </c>
      <c r="Z62" s="35"/>
      <c r="AA62" s="35"/>
      <c r="AB62" s="35"/>
    </row>
    <row r="63" spans="1:28" ht="15.75" customHeight="1" x14ac:dyDescent="0.35">
      <c r="A63" s="5">
        <v>45968</v>
      </c>
      <c r="B63" s="2" t="s">
        <v>156</v>
      </c>
      <c r="C63" s="2" t="s">
        <v>16</v>
      </c>
      <c r="D63" s="2" t="s">
        <v>4</v>
      </c>
      <c r="E63" s="9">
        <v>2</v>
      </c>
      <c r="F63" s="9">
        <v>560685.43000000005</v>
      </c>
      <c r="G63" s="9">
        <v>561559.51</v>
      </c>
      <c r="I63" s="41">
        <f t="shared" si="2"/>
        <v>874.07999999995809</v>
      </c>
      <c r="J63" s="42">
        <v>11.6</v>
      </c>
      <c r="K63" s="43">
        <f t="shared" si="1"/>
        <v>10139.327999999514</v>
      </c>
      <c r="M63" s="26"/>
      <c r="N63" s="26"/>
      <c r="O63" s="9"/>
      <c r="P63" s="9"/>
      <c r="W63" s="9"/>
      <c r="X63" s="9"/>
      <c r="Y63" s="9"/>
    </row>
    <row r="64" spans="1:28" ht="15.75" customHeight="1" x14ac:dyDescent="0.35">
      <c r="A64" s="5">
        <v>45968</v>
      </c>
      <c r="B64" s="2" t="s">
        <v>156</v>
      </c>
      <c r="C64" s="2" t="s">
        <v>16</v>
      </c>
      <c r="D64" s="2" t="s">
        <v>8</v>
      </c>
      <c r="E64" s="9">
        <v>1</v>
      </c>
      <c r="F64" s="9">
        <v>285866.82</v>
      </c>
      <c r="G64" s="9">
        <v>285908.28000000003</v>
      </c>
      <c r="I64" s="41">
        <f t="shared" si="2"/>
        <v>41.460000000020955</v>
      </c>
      <c r="J64" s="42">
        <v>13.2</v>
      </c>
      <c r="K64" s="43">
        <f t="shared" si="1"/>
        <v>547.27200000027653</v>
      </c>
      <c r="M64" s="26"/>
      <c r="N64" s="26"/>
      <c r="O64" s="9"/>
      <c r="P64" s="9"/>
      <c r="W64" s="9"/>
      <c r="X64" s="9"/>
      <c r="Y64" s="9"/>
    </row>
    <row r="65" spans="1:28" ht="15.75" customHeight="1" x14ac:dyDescent="0.35">
      <c r="A65" s="5">
        <v>45968</v>
      </c>
      <c r="B65" s="2" t="s">
        <v>156</v>
      </c>
      <c r="C65" s="2" t="s">
        <v>25</v>
      </c>
      <c r="D65" s="2" t="s">
        <v>8</v>
      </c>
      <c r="E65" s="9">
        <v>2</v>
      </c>
      <c r="F65" s="9">
        <v>409370.61</v>
      </c>
      <c r="G65" s="9">
        <v>409456.23</v>
      </c>
      <c r="I65" s="41">
        <f t="shared" si="2"/>
        <v>85.619999999995343</v>
      </c>
      <c r="J65" s="42">
        <v>13.2</v>
      </c>
      <c r="K65" s="43">
        <f t="shared" si="1"/>
        <v>1130.1839999999386</v>
      </c>
      <c r="M65" s="26"/>
      <c r="N65" s="26"/>
      <c r="O65" s="9"/>
      <c r="P65" s="9"/>
      <c r="W65" s="9"/>
      <c r="X65" s="9"/>
      <c r="Y65" s="9"/>
    </row>
    <row r="66" spans="1:28" ht="15.75" customHeight="1" x14ac:dyDescent="0.35">
      <c r="A66" s="5">
        <v>45968</v>
      </c>
      <c r="B66" s="2" t="s">
        <v>156</v>
      </c>
      <c r="C66" s="2" t="s">
        <v>25</v>
      </c>
      <c r="D66" s="2" t="s">
        <v>8</v>
      </c>
      <c r="E66" s="9">
        <v>3</v>
      </c>
      <c r="F66" s="9">
        <v>372262.5</v>
      </c>
      <c r="G66" s="9">
        <v>372533.8</v>
      </c>
      <c r="I66" s="41">
        <f t="shared" si="2"/>
        <v>271.29999999998836</v>
      </c>
      <c r="J66" s="42">
        <v>13.2</v>
      </c>
      <c r="K66" s="43">
        <f t="shared" si="1"/>
        <v>3581.1599999998461</v>
      </c>
      <c r="M66" s="26"/>
      <c r="N66" s="26"/>
      <c r="O66" s="9"/>
      <c r="P66" s="9"/>
      <c r="W66" s="9"/>
      <c r="X66" s="9"/>
      <c r="Y66" s="9"/>
    </row>
    <row r="67" spans="1:28" ht="15.75" customHeight="1" x14ac:dyDescent="0.35">
      <c r="A67" s="5">
        <v>45968</v>
      </c>
      <c r="B67" s="2" t="s">
        <v>156</v>
      </c>
      <c r="C67" s="2" t="s">
        <v>25</v>
      </c>
      <c r="D67" s="2" t="s">
        <v>8</v>
      </c>
      <c r="E67" s="9">
        <v>4</v>
      </c>
      <c r="F67" s="9">
        <v>523360.72</v>
      </c>
      <c r="G67" s="9">
        <v>523463.01</v>
      </c>
      <c r="I67" s="41">
        <f t="shared" si="2"/>
        <v>102.29000000003725</v>
      </c>
      <c r="J67" s="42">
        <v>13.2</v>
      </c>
      <c r="K67" s="43">
        <f t="shared" si="1"/>
        <v>1350.2280000004916</v>
      </c>
      <c r="M67" s="26"/>
      <c r="N67" s="26"/>
      <c r="O67" s="9"/>
      <c r="P67" s="9"/>
      <c r="W67" s="9"/>
      <c r="X67" s="9"/>
      <c r="Y67" s="9"/>
    </row>
    <row r="68" spans="1:28" ht="15.75" customHeight="1" x14ac:dyDescent="0.35">
      <c r="A68" s="34">
        <v>45998</v>
      </c>
      <c r="B68" s="35" t="s">
        <v>183</v>
      </c>
      <c r="C68" s="35" t="s">
        <v>25</v>
      </c>
      <c r="D68" s="35" t="s">
        <v>4</v>
      </c>
      <c r="E68" s="36">
        <v>1</v>
      </c>
      <c r="F68" s="36">
        <v>352682.88</v>
      </c>
      <c r="G68" s="36">
        <v>353158.13</v>
      </c>
      <c r="H68" s="35"/>
      <c r="I68" s="35">
        <f t="shared" si="2"/>
        <v>475.25</v>
      </c>
      <c r="J68" s="36">
        <v>11.6</v>
      </c>
      <c r="K68" s="37">
        <f t="shared" si="1"/>
        <v>5512.9</v>
      </c>
      <c r="L68" s="38">
        <f>K68+K69</f>
        <v>13570.956000000377</v>
      </c>
      <c r="M68" s="39">
        <f>K70+K71+K72+K73</f>
        <v>3684.3839999999386</v>
      </c>
      <c r="N68" s="40">
        <f>SUM(L68:M68)</f>
        <v>17255.340000000317</v>
      </c>
      <c r="O68" s="36"/>
      <c r="P68" s="36"/>
      <c r="Q68" s="35"/>
      <c r="R68" s="35"/>
      <c r="S68" s="35"/>
      <c r="T68" s="35"/>
      <c r="U68" s="35"/>
      <c r="V68" s="35"/>
      <c r="W68" s="37">
        <f>N68-O68-P68-Q68-R68-S68-T68-U68-V68</f>
        <v>17255.340000000317</v>
      </c>
      <c r="X68" s="36">
        <v>17256</v>
      </c>
      <c r="Y68" s="37">
        <f>X68-W68</f>
        <v>0.65999999968335032</v>
      </c>
      <c r="Z68" s="35"/>
      <c r="AA68" s="35"/>
      <c r="AB68" s="35"/>
    </row>
    <row r="69" spans="1:28" ht="15.75" customHeight="1" x14ac:dyDescent="0.35">
      <c r="A69" s="5">
        <v>45998</v>
      </c>
      <c r="B69" s="2" t="s">
        <v>183</v>
      </c>
      <c r="C69" s="2" t="s">
        <v>25</v>
      </c>
      <c r="D69" s="2" t="s">
        <v>8</v>
      </c>
      <c r="E69" s="9">
        <v>2</v>
      </c>
      <c r="F69" s="9">
        <v>561559.51</v>
      </c>
      <c r="G69" s="9">
        <v>562254.17000000004</v>
      </c>
      <c r="I69" s="41">
        <f t="shared" si="2"/>
        <v>694.6600000000326</v>
      </c>
      <c r="J69" s="42">
        <v>11.6</v>
      </c>
      <c r="K69" s="43">
        <f t="shared" si="1"/>
        <v>8058.0560000003779</v>
      </c>
      <c r="M69" s="26"/>
      <c r="N69" s="26"/>
      <c r="O69" s="9"/>
      <c r="P69" s="9"/>
      <c r="W69" s="9"/>
      <c r="X69" s="9"/>
      <c r="Y69" s="9"/>
    </row>
    <row r="70" spans="1:28" ht="15.75" customHeight="1" x14ac:dyDescent="0.35">
      <c r="A70" s="5">
        <v>45998</v>
      </c>
      <c r="B70" s="2" t="s">
        <v>183</v>
      </c>
      <c r="C70" s="2" t="s">
        <v>16</v>
      </c>
      <c r="D70" s="2" t="s">
        <v>8</v>
      </c>
      <c r="E70" s="9">
        <v>1</v>
      </c>
      <c r="F70" s="9">
        <v>285908.28000000003</v>
      </c>
      <c r="G70" s="9">
        <v>285908.28000000003</v>
      </c>
      <c r="I70" s="41">
        <f t="shared" si="2"/>
        <v>0</v>
      </c>
      <c r="J70" s="42">
        <v>13.2</v>
      </c>
      <c r="K70" s="43">
        <f t="shared" si="1"/>
        <v>0</v>
      </c>
      <c r="M70" s="26"/>
      <c r="N70" s="26"/>
      <c r="O70" s="9"/>
      <c r="P70" s="9"/>
      <c r="W70" s="9"/>
      <c r="X70" s="9"/>
      <c r="Y70" s="9"/>
    </row>
    <row r="71" spans="1:28" ht="15.75" customHeight="1" x14ac:dyDescent="0.35">
      <c r="A71" s="5">
        <v>45998</v>
      </c>
      <c r="B71" s="2" t="s">
        <v>183</v>
      </c>
      <c r="C71" s="2" t="s">
        <v>16</v>
      </c>
      <c r="D71" s="2" t="s">
        <v>8</v>
      </c>
      <c r="E71" s="9">
        <v>2</v>
      </c>
      <c r="F71" s="9">
        <v>409456.23</v>
      </c>
      <c r="G71" s="9">
        <v>409456.23</v>
      </c>
      <c r="I71" s="41">
        <f t="shared" si="2"/>
        <v>0</v>
      </c>
      <c r="J71" s="42">
        <v>13.2</v>
      </c>
      <c r="K71" s="43">
        <f t="shared" si="1"/>
        <v>0</v>
      </c>
      <c r="M71" s="26"/>
      <c r="N71" s="26"/>
      <c r="O71" s="9"/>
      <c r="P71" s="9"/>
      <c r="W71" s="9"/>
      <c r="X71" s="9"/>
      <c r="Y71" s="9"/>
    </row>
    <row r="72" spans="1:28" ht="15.75" customHeight="1" x14ac:dyDescent="0.35">
      <c r="A72" s="5">
        <v>45998</v>
      </c>
      <c r="B72" s="2" t="s">
        <v>183</v>
      </c>
      <c r="C72" s="2" t="s">
        <v>16</v>
      </c>
      <c r="D72" s="2" t="s">
        <v>8</v>
      </c>
      <c r="E72" s="9">
        <v>3</v>
      </c>
      <c r="F72" s="9">
        <v>372533.8</v>
      </c>
      <c r="G72" s="9">
        <v>372723.57</v>
      </c>
      <c r="I72" s="41">
        <f t="shared" si="2"/>
        <v>189.77000000001863</v>
      </c>
      <c r="J72" s="42">
        <v>13.2</v>
      </c>
      <c r="K72" s="43">
        <f t="shared" si="1"/>
        <v>2504.964000000246</v>
      </c>
      <c r="M72" s="26"/>
      <c r="N72" s="26"/>
      <c r="O72" s="9"/>
      <c r="P72" s="9"/>
      <c r="W72" s="9"/>
      <c r="X72" s="9"/>
      <c r="Y72" s="9"/>
    </row>
    <row r="73" spans="1:28" ht="15.75" customHeight="1" x14ac:dyDescent="0.35">
      <c r="A73" s="5">
        <v>45998</v>
      </c>
      <c r="B73" s="2" t="s">
        <v>183</v>
      </c>
      <c r="C73" s="2" t="s">
        <v>16</v>
      </c>
      <c r="D73" s="2" t="s">
        <v>8</v>
      </c>
      <c r="E73" s="9">
        <v>4</v>
      </c>
      <c r="F73" s="9">
        <v>523463.01</v>
      </c>
      <c r="G73" s="9">
        <v>523552.36</v>
      </c>
      <c r="I73" s="41">
        <f t="shared" si="2"/>
        <v>89.349999999976717</v>
      </c>
      <c r="J73" s="42">
        <v>13.2</v>
      </c>
      <c r="K73" s="43">
        <f t="shared" si="1"/>
        <v>1179.4199999996927</v>
      </c>
      <c r="M73" s="26"/>
      <c r="N73" s="26"/>
      <c r="O73" s="9"/>
      <c r="P73" s="9"/>
      <c r="W73" s="9"/>
      <c r="X73" s="9"/>
      <c r="Y73" s="9"/>
    </row>
    <row r="74" spans="1:28" ht="15.75" customHeight="1" x14ac:dyDescent="0.35">
      <c r="A74" s="44" t="s">
        <v>42</v>
      </c>
      <c r="B74" s="28" t="s">
        <v>158</v>
      </c>
      <c r="C74" s="28" t="s">
        <v>22</v>
      </c>
      <c r="D74" s="28" t="s">
        <v>4</v>
      </c>
      <c r="E74" s="29">
        <v>1</v>
      </c>
      <c r="F74" s="29">
        <v>353158.13</v>
      </c>
      <c r="G74" s="29">
        <v>353628.01</v>
      </c>
      <c r="H74" s="28"/>
      <c r="I74" s="28">
        <f t="shared" si="2"/>
        <v>469.88000000000466</v>
      </c>
      <c r="J74" s="29">
        <v>11.6</v>
      </c>
      <c r="K74" s="30">
        <f t="shared" si="1"/>
        <v>5450.6080000000538</v>
      </c>
      <c r="L74" s="31">
        <f>K74+K75</f>
        <v>13291.85999999973</v>
      </c>
      <c r="M74" s="32">
        <f>K76+K77+K78+K79</f>
        <v>6818.327999999723</v>
      </c>
      <c r="N74" s="33">
        <f>SUM(L74:M74)</f>
        <v>20110.187999999453</v>
      </c>
      <c r="O74" s="29">
        <v>50</v>
      </c>
      <c r="P74" s="29"/>
      <c r="Q74" s="28"/>
      <c r="R74" s="28"/>
      <c r="S74" s="28"/>
      <c r="T74" s="28"/>
      <c r="U74" s="28"/>
      <c r="V74" s="28"/>
      <c r="W74" s="30">
        <f>N74-O74-P74-Q74-R74-S74-T74-U74-V74</f>
        <v>20060.187999999453</v>
      </c>
      <c r="X74" s="29">
        <v>20061</v>
      </c>
      <c r="Y74" s="30">
        <f>X74-W74</f>
        <v>0.81200000054741395</v>
      </c>
      <c r="Z74" s="28"/>
      <c r="AA74" s="28"/>
      <c r="AB74" s="28"/>
    </row>
    <row r="75" spans="1:28" ht="15.75" customHeight="1" x14ac:dyDescent="0.35">
      <c r="A75" s="6" t="s">
        <v>42</v>
      </c>
      <c r="B75" s="2" t="s">
        <v>158</v>
      </c>
      <c r="C75" s="2" t="s">
        <v>22</v>
      </c>
      <c r="D75" s="2" t="s">
        <v>4</v>
      </c>
      <c r="E75" s="9">
        <v>2</v>
      </c>
      <c r="F75" s="9">
        <v>562254.17000000004</v>
      </c>
      <c r="G75" s="9">
        <v>562930.14</v>
      </c>
      <c r="I75" s="41">
        <f t="shared" si="2"/>
        <v>675.96999999997206</v>
      </c>
      <c r="J75" s="42">
        <v>11.6</v>
      </c>
      <c r="K75" s="43">
        <f t="shared" si="1"/>
        <v>7841.2519999996757</v>
      </c>
      <c r="M75" s="26"/>
      <c r="N75" s="26"/>
      <c r="O75" s="9"/>
      <c r="P75" s="9"/>
      <c r="W75" s="9"/>
      <c r="X75" s="9"/>
      <c r="Y75" s="9"/>
    </row>
    <row r="76" spans="1:28" ht="15.75" customHeight="1" x14ac:dyDescent="0.35">
      <c r="A76" s="6" t="s">
        <v>42</v>
      </c>
      <c r="B76" s="2" t="s">
        <v>158</v>
      </c>
      <c r="C76" s="2" t="s">
        <v>20</v>
      </c>
      <c r="D76" s="2" t="s">
        <v>8</v>
      </c>
      <c r="E76" s="9">
        <v>1</v>
      </c>
      <c r="F76" s="9">
        <v>285908.28000000003</v>
      </c>
      <c r="G76" s="9">
        <v>286101.46999999997</v>
      </c>
      <c r="I76" s="41">
        <f t="shared" si="2"/>
        <v>193.18999999994412</v>
      </c>
      <c r="J76" s="42">
        <v>13.2</v>
      </c>
      <c r="K76" s="43">
        <f t="shared" si="1"/>
        <v>2550.1079999992621</v>
      </c>
      <c r="M76" s="26"/>
      <c r="N76" s="26"/>
      <c r="O76" s="9"/>
      <c r="P76" s="9"/>
      <c r="W76" s="9"/>
      <c r="X76" s="9"/>
      <c r="Y76" s="9"/>
    </row>
    <row r="77" spans="1:28" ht="15.75" customHeight="1" x14ac:dyDescent="0.35">
      <c r="A77" s="6" t="s">
        <v>42</v>
      </c>
      <c r="B77" s="2" t="s">
        <v>158</v>
      </c>
      <c r="C77" s="2" t="s">
        <v>20</v>
      </c>
      <c r="D77" s="2" t="s">
        <v>8</v>
      </c>
      <c r="E77" s="9">
        <v>2</v>
      </c>
      <c r="F77" s="9">
        <v>409456.23</v>
      </c>
      <c r="G77" s="9">
        <v>409535.76</v>
      </c>
      <c r="I77" s="41">
        <f t="shared" si="2"/>
        <v>79.53000000002794</v>
      </c>
      <c r="J77" s="42">
        <v>13.2</v>
      </c>
      <c r="K77" s="43">
        <f t="shared" si="1"/>
        <v>1049.7960000003688</v>
      </c>
      <c r="M77" s="26"/>
      <c r="N77" s="26"/>
      <c r="O77" s="9"/>
      <c r="P77" s="9"/>
      <c r="W77" s="9"/>
      <c r="X77" s="9"/>
      <c r="Y77" s="9"/>
    </row>
    <row r="78" spans="1:28" ht="15.75" customHeight="1" x14ac:dyDescent="0.35">
      <c r="A78" s="6" t="s">
        <v>42</v>
      </c>
      <c r="B78" s="2" t="s">
        <v>158</v>
      </c>
      <c r="C78" s="2" t="s">
        <v>20</v>
      </c>
      <c r="D78" s="2" t="s">
        <v>8</v>
      </c>
      <c r="E78" s="9">
        <v>3</v>
      </c>
      <c r="F78" s="9">
        <v>372723.57</v>
      </c>
      <c r="G78" s="9">
        <v>372802.7</v>
      </c>
      <c r="I78" s="41">
        <f t="shared" si="2"/>
        <v>79.130000000004657</v>
      </c>
      <c r="J78" s="42">
        <v>13.2</v>
      </c>
      <c r="K78" s="43">
        <f t="shared" si="1"/>
        <v>1044.5160000000615</v>
      </c>
      <c r="M78" s="26"/>
      <c r="N78" s="26"/>
      <c r="O78" s="9"/>
      <c r="P78" s="9"/>
      <c r="W78" s="9"/>
      <c r="X78" s="9"/>
      <c r="Y78" s="9"/>
    </row>
    <row r="79" spans="1:28" ht="15.75" customHeight="1" x14ac:dyDescent="0.35">
      <c r="A79" s="6" t="s">
        <v>42</v>
      </c>
      <c r="B79" s="2" t="s">
        <v>158</v>
      </c>
      <c r="C79" s="2" t="s">
        <v>20</v>
      </c>
      <c r="D79" s="2" t="s">
        <v>8</v>
      </c>
      <c r="E79" s="9">
        <v>4</v>
      </c>
      <c r="F79" s="9">
        <v>523552.36</v>
      </c>
      <c r="G79" s="9">
        <v>523717.05</v>
      </c>
      <c r="I79" s="41">
        <f t="shared" si="2"/>
        <v>164.69000000000233</v>
      </c>
      <c r="J79" s="42">
        <v>13.2</v>
      </c>
      <c r="K79" s="43">
        <f t="shared" si="1"/>
        <v>2173.9080000000308</v>
      </c>
      <c r="M79" s="26"/>
      <c r="N79" s="26"/>
      <c r="O79" s="9"/>
      <c r="P79" s="9"/>
      <c r="W79" s="9"/>
      <c r="X79" s="9"/>
      <c r="Y79" s="9"/>
    </row>
    <row r="80" spans="1:28" ht="15.75" customHeight="1" x14ac:dyDescent="0.35">
      <c r="A80" s="44" t="s">
        <v>43</v>
      </c>
      <c r="B80" s="28" t="s">
        <v>159</v>
      </c>
      <c r="C80" s="28" t="s">
        <v>20</v>
      </c>
      <c r="D80" s="28" t="s">
        <v>4</v>
      </c>
      <c r="E80" s="29">
        <v>1</v>
      </c>
      <c r="F80" s="29">
        <v>353628.01</v>
      </c>
      <c r="G80" s="29">
        <v>354144.98</v>
      </c>
      <c r="H80" s="28">
        <v>10</v>
      </c>
      <c r="I80" s="28">
        <f t="shared" si="2"/>
        <v>506.96999999997206</v>
      </c>
      <c r="J80" s="29">
        <v>11.6</v>
      </c>
      <c r="K80" s="30">
        <f t="shared" si="1"/>
        <v>5880.8519999996761</v>
      </c>
      <c r="L80" s="31">
        <f>K80+K81</f>
        <v>15985.37999999919</v>
      </c>
      <c r="M80" s="32">
        <f>K82+K83+K84+K85</f>
        <v>10366.356000000214</v>
      </c>
      <c r="N80" s="33">
        <f>SUM(L80:M80)</f>
        <v>26351.735999999404</v>
      </c>
      <c r="O80" s="29">
        <v>50</v>
      </c>
      <c r="P80" s="29"/>
      <c r="Q80" s="28"/>
      <c r="R80" s="28"/>
      <c r="S80" s="28"/>
      <c r="T80" s="28"/>
      <c r="U80" s="28">
        <v>400</v>
      </c>
      <c r="V80" s="28"/>
      <c r="W80" s="30">
        <f>N80-O80-P80-Q80-R80-S80-T80-U80-V80</f>
        <v>25901.735999999404</v>
      </c>
      <c r="X80" s="29">
        <v>25901</v>
      </c>
      <c r="Y80" s="30">
        <f>X80-W80</f>
        <v>-0.73599999940415728</v>
      </c>
      <c r="Z80" s="28"/>
      <c r="AA80" s="28"/>
      <c r="AB80" s="28"/>
    </row>
    <row r="81" spans="1:28" ht="15.75" customHeight="1" x14ac:dyDescent="0.35">
      <c r="A81" s="6" t="s">
        <v>43</v>
      </c>
      <c r="B81" s="2" t="s">
        <v>159</v>
      </c>
      <c r="C81" s="2" t="s">
        <v>20</v>
      </c>
      <c r="D81" s="2" t="s">
        <v>4</v>
      </c>
      <c r="E81" s="9">
        <v>2</v>
      </c>
      <c r="F81" s="9">
        <v>562930.16</v>
      </c>
      <c r="G81" s="9">
        <v>563811.24</v>
      </c>
      <c r="H81" s="2">
        <v>10</v>
      </c>
      <c r="I81" s="41">
        <f t="shared" si="2"/>
        <v>871.07999999995809</v>
      </c>
      <c r="J81" s="42">
        <v>11.6</v>
      </c>
      <c r="K81" s="43">
        <f t="shared" si="1"/>
        <v>10104.527999999513</v>
      </c>
      <c r="M81" s="26"/>
      <c r="N81" s="26"/>
      <c r="O81" s="9"/>
      <c r="P81" s="9"/>
      <c r="W81" s="9"/>
      <c r="X81" s="9"/>
      <c r="Y81" s="9"/>
    </row>
    <row r="82" spans="1:28" ht="15.75" customHeight="1" x14ac:dyDescent="0.35">
      <c r="A82" s="6" t="s">
        <v>43</v>
      </c>
      <c r="B82" s="2" t="s">
        <v>159</v>
      </c>
      <c r="C82" s="2" t="s">
        <v>22</v>
      </c>
      <c r="D82" s="2" t="s">
        <v>8</v>
      </c>
      <c r="E82" s="9">
        <v>1</v>
      </c>
      <c r="F82" s="9">
        <v>286101.46999999997</v>
      </c>
      <c r="G82" s="9">
        <v>286462.86</v>
      </c>
      <c r="H82" s="2">
        <v>10</v>
      </c>
      <c r="I82" s="41">
        <f t="shared" si="2"/>
        <v>351.39000000001397</v>
      </c>
      <c r="J82" s="42">
        <v>13.2</v>
      </c>
      <c r="K82" s="43">
        <f t="shared" si="1"/>
        <v>4638.3480000001846</v>
      </c>
      <c r="M82" s="26"/>
      <c r="N82" s="26"/>
      <c r="O82" s="9"/>
      <c r="P82" s="9"/>
      <c r="W82" s="9"/>
      <c r="X82" s="9"/>
      <c r="Y82" s="9"/>
    </row>
    <row r="83" spans="1:28" ht="15.75" customHeight="1" x14ac:dyDescent="0.35">
      <c r="A83" s="6" t="s">
        <v>43</v>
      </c>
      <c r="B83" s="2" t="s">
        <v>159</v>
      </c>
      <c r="C83" s="2" t="s">
        <v>22</v>
      </c>
      <c r="D83" s="2" t="s">
        <v>8</v>
      </c>
      <c r="E83" s="9">
        <v>2</v>
      </c>
      <c r="F83" s="9">
        <v>409535.76</v>
      </c>
      <c r="G83" s="9">
        <v>409641.07</v>
      </c>
      <c r="H83" s="2">
        <v>10</v>
      </c>
      <c r="I83" s="41">
        <f t="shared" si="2"/>
        <v>95.309999999997672</v>
      </c>
      <c r="J83" s="42">
        <v>13.2</v>
      </c>
      <c r="K83" s="43">
        <f t="shared" si="1"/>
        <v>1258.0919999999692</v>
      </c>
      <c r="M83" s="26"/>
      <c r="N83" s="26"/>
      <c r="O83" s="9"/>
      <c r="P83" s="9"/>
      <c r="W83" s="9"/>
      <c r="X83" s="9"/>
      <c r="Y83" s="9"/>
    </row>
    <row r="84" spans="1:28" ht="15.75" customHeight="1" x14ac:dyDescent="0.35">
      <c r="A84" s="6" t="s">
        <v>43</v>
      </c>
      <c r="B84" s="2" t="s">
        <v>159</v>
      </c>
      <c r="C84" s="2" t="s">
        <v>22</v>
      </c>
      <c r="D84" s="2" t="s">
        <v>8</v>
      </c>
      <c r="E84" s="9">
        <v>3</v>
      </c>
      <c r="F84" s="9">
        <v>372802.7</v>
      </c>
      <c r="G84" s="9">
        <v>372979.99</v>
      </c>
      <c r="H84" s="2">
        <v>10</v>
      </c>
      <c r="I84" s="41">
        <f t="shared" si="2"/>
        <v>167.28999999997905</v>
      </c>
      <c r="J84" s="42">
        <v>13.2</v>
      </c>
      <c r="K84" s="43">
        <f t="shared" si="1"/>
        <v>2208.2279999997231</v>
      </c>
      <c r="M84" s="26"/>
      <c r="N84" s="26"/>
      <c r="O84" s="9"/>
      <c r="P84" s="9"/>
      <c r="W84" s="9"/>
      <c r="X84" s="9"/>
      <c r="Y84" s="9"/>
    </row>
    <row r="85" spans="1:28" ht="15.75" customHeight="1" x14ac:dyDescent="0.35">
      <c r="A85" s="6" t="s">
        <v>43</v>
      </c>
      <c r="B85" s="2" t="s">
        <v>159</v>
      </c>
      <c r="C85" s="2" t="s">
        <v>22</v>
      </c>
      <c r="D85" s="2" t="s">
        <v>8</v>
      </c>
      <c r="E85" s="9">
        <v>4</v>
      </c>
      <c r="F85" s="9">
        <v>523717.05</v>
      </c>
      <c r="G85" s="9">
        <v>523898.39</v>
      </c>
      <c r="H85" s="2">
        <v>10</v>
      </c>
      <c r="I85" s="41">
        <f t="shared" si="2"/>
        <v>171.34000000002561</v>
      </c>
      <c r="J85" s="42">
        <v>13.2</v>
      </c>
      <c r="K85" s="43">
        <f t="shared" si="1"/>
        <v>2261.688000000338</v>
      </c>
      <c r="M85" s="26"/>
      <c r="N85" s="26"/>
      <c r="O85" s="9"/>
      <c r="P85" s="9"/>
      <c r="W85" s="9"/>
      <c r="X85" s="9"/>
      <c r="Y85" s="9"/>
    </row>
    <row r="86" spans="1:28" ht="15.75" customHeight="1" x14ac:dyDescent="0.35">
      <c r="A86" s="45" t="s">
        <v>44</v>
      </c>
      <c r="B86" s="35" t="s">
        <v>152</v>
      </c>
      <c r="C86" s="35" t="s">
        <v>16</v>
      </c>
      <c r="D86" s="35" t="s">
        <v>4</v>
      </c>
      <c r="E86" s="36">
        <v>1</v>
      </c>
      <c r="F86" s="36">
        <v>354144.98</v>
      </c>
      <c r="G86" s="36">
        <v>355000.77</v>
      </c>
      <c r="H86" s="35"/>
      <c r="I86" s="35">
        <f t="shared" si="2"/>
        <v>855.79000000003725</v>
      </c>
      <c r="J86" s="36">
        <v>11.6</v>
      </c>
      <c r="K86" s="37">
        <f t="shared" si="1"/>
        <v>9927.1640000004318</v>
      </c>
      <c r="L86" s="38">
        <f>K86+K87</f>
        <v>25733.208000000053</v>
      </c>
      <c r="M86" s="39">
        <f>K88+K89+K90+K91</f>
        <v>26739.240000000151</v>
      </c>
      <c r="N86" s="40">
        <f>SUM(L86:M86)</f>
        <v>52472.448000000208</v>
      </c>
      <c r="O86" s="36">
        <v>50</v>
      </c>
      <c r="P86" s="36"/>
      <c r="Q86" s="35"/>
      <c r="R86" s="35"/>
      <c r="S86" s="35"/>
      <c r="T86" s="35"/>
      <c r="U86" s="35"/>
      <c r="V86" s="35">
        <v>900</v>
      </c>
      <c r="W86" s="37">
        <f>N86-O86-P86-Q86-R86-S86-T86-U86-V86</f>
        <v>51522.448000000208</v>
      </c>
      <c r="X86" s="36">
        <v>51523</v>
      </c>
      <c r="Y86" s="37">
        <f>X86-W86</f>
        <v>0.55199999979231507</v>
      </c>
      <c r="Z86" s="35"/>
      <c r="AA86" s="35"/>
      <c r="AB86" s="35"/>
    </row>
    <row r="87" spans="1:28" ht="15.75" customHeight="1" x14ac:dyDescent="0.35">
      <c r="A87" s="6" t="s">
        <v>44</v>
      </c>
      <c r="B87" s="2" t="s">
        <v>152</v>
      </c>
      <c r="C87" s="2" t="s">
        <v>16</v>
      </c>
      <c r="D87" s="2" t="s">
        <v>4</v>
      </c>
      <c r="E87" s="9">
        <v>2</v>
      </c>
      <c r="F87" s="9">
        <v>563811.24</v>
      </c>
      <c r="G87" s="9">
        <v>565173.82999999996</v>
      </c>
      <c r="I87" s="41">
        <f t="shared" si="2"/>
        <v>1362.5899999999674</v>
      </c>
      <c r="J87" s="42">
        <v>11.6</v>
      </c>
      <c r="K87" s="43">
        <f t="shared" si="1"/>
        <v>15806.043999999622</v>
      </c>
      <c r="M87" s="26"/>
      <c r="N87" s="26"/>
      <c r="O87" s="9"/>
      <c r="P87" s="9"/>
      <c r="W87" s="9"/>
      <c r="X87" s="9"/>
      <c r="Y87" s="9"/>
    </row>
    <row r="88" spans="1:28" ht="15.75" customHeight="1" x14ac:dyDescent="0.35">
      <c r="A88" s="6" t="s">
        <v>44</v>
      </c>
      <c r="B88" s="2" t="s">
        <v>152</v>
      </c>
      <c r="C88" s="2" t="s">
        <v>16</v>
      </c>
      <c r="D88" s="2" t="s">
        <v>8</v>
      </c>
      <c r="E88" s="9">
        <v>1</v>
      </c>
      <c r="F88" s="9">
        <v>286462.86</v>
      </c>
      <c r="G88" s="9">
        <v>286663.67</v>
      </c>
      <c r="I88" s="41">
        <f t="shared" si="2"/>
        <v>200.80999999999767</v>
      </c>
      <c r="J88" s="42">
        <v>13.2</v>
      </c>
      <c r="K88" s="43">
        <f t="shared" si="1"/>
        <v>2650.6919999999691</v>
      </c>
      <c r="M88" s="26"/>
      <c r="N88" s="26"/>
      <c r="O88" s="9"/>
      <c r="P88" s="9"/>
      <c r="W88" s="9"/>
      <c r="X88" s="9"/>
      <c r="Y88" s="9"/>
    </row>
    <row r="89" spans="1:28" ht="15.75" customHeight="1" x14ac:dyDescent="0.35">
      <c r="A89" s="6" t="s">
        <v>44</v>
      </c>
      <c r="B89" s="2" t="s">
        <v>152</v>
      </c>
      <c r="C89" s="2" t="s">
        <v>25</v>
      </c>
      <c r="D89" s="2" t="s">
        <v>8</v>
      </c>
      <c r="E89" s="9">
        <v>2</v>
      </c>
      <c r="F89" s="9">
        <v>409641.07</v>
      </c>
      <c r="G89" s="9">
        <v>410201.19</v>
      </c>
      <c r="I89" s="41">
        <f t="shared" si="2"/>
        <v>560.11999999999534</v>
      </c>
      <c r="J89" s="42">
        <v>13.2</v>
      </c>
      <c r="K89" s="43">
        <f t="shared" si="1"/>
        <v>7393.583999999938</v>
      </c>
      <c r="M89" s="26"/>
      <c r="N89" s="26"/>
      <c r="O89" s="9"/>
      <c r="P89" s="9"/>
      <c r="W89" s="9"/>
      <c r="X89" s="9"/>
      <c r="Y89" s="9"/>
    </row>
    <row r="90" spans="1:28" ht="15.75" customHeight="1" x14ac:dyDescent="0.35">
      <c r="A90" s="6" t="s">
        <v>44</v>
      </c>
      <c r="B90" s="2" t="s">
        <v>152</v>
      </c>
      <c r="C90" s="2" t="s">
        <v>25</v>
      </c>
      <c r="D90" s="2" t="s">
        <v>8</v>
      </c>
      <c r="E90" s="9">
        <v>3</v>
      </c>
      <c r="F90" s="9">
        <v>372979.99</v>
      </c>
      <c r="G90" s="9">
        <v>373610.26</v>
      </c>
      <c r="I90" s="41">
        <f t="shared" si="2"/>
        <v>630.27000000001863</v>
      </c>
      <c r="J90" s="42">
        <v>13.2</v>
      </c>
      <c r="K90" s="43">
        <f t="shared" si="1"/>
        <v>8319.5640000002459</v>
      </c>
      <c r="M90" s="26"/>
      <c r="N90" s="26"/>
      <c r="O90" s="9"/>
      <c r="P90" s="9"/>
      <c r="W90" s="9"/>
      <c r="X90" s="9"/>
      <c r="Y90" s="9"/>
    </row>
    <row r="91" spans="1:28" ht="15.75" customHeight="1" x14ac:dyDescent="0.35">
      <c r="A91" s="6" t="s">
        <v>44</v>
      </c>
      <c r="B91" s="2" t="s">
        <v>152</v>
      </c>
      <c r="C91" s="2" t="s">
        <v>25</v>
      </c>
      <c r="D91" s="2" t="s">
        <v>8</v>
      </c>
      <c r="E91" s="9">
        <v>4</v>
      </c>
      <c r="F91" s="9">
        <v>523898.39</v>
      </c>
      <c r="G91" s="9">
        <v>524532.89</v>
      </c>
      <c r="I91" s="41">
        <f t="shared" si="2"/>
        <v>634.5</v>
      </c>
      <c r="J91" s="42">
        <v>13.2</v>
      </c>
      <c r="K91" s="43">
        <f t="shared" si="1"/>
        <v>8375.4</v>
      </c>
      <c r="M91" s="26"/>
      <c r="N91" s="26"/>
      <c r="O91" s="9"/>
      <c r="P91" s="9"/>
      <c r="W91" s="9"/>
      <c r="X91" s="9"/>
      <c r="Y91" s="9"/>
    </row>
    <row r="92" spans="1:28" ht="15.75" customHeight="1" x14ac:dyDescent="0.35">
      <c r="A92" s="45" t="s">
        <v>45</v>
      </c>
      <c r="B92" s="35" t="s">
        <v>182</v>
      </c>
      <c r="C92" s="35" t="s">
        <v>25</v>
      </c>
      <c r="D92" s="35" t="s">
        <v>4</v>
      </c>
      <c r="E92" s="36">
        <v>1</v>
      </c>
      <c r="F92" s="36">
        <v>355000.77</v>
      </c>
      <c r="G92" s="36">
        <v>355261.57</v>
      </c>
      <c r="H92" s="35"/>
      <c r="I92" s="35">
        <f t="shared" si="2"/>
        <v>260.79999999998836</v>
      </c>
      <c r="J92" s="36">
        <v>12.6</v>
      </c>
      <c r="K92" s="37">
        <f t="shared" si="1"/>
        <v>3286.079999999853</v>
      </c>
      <c r="L92" s="38">
        <f>K92+K93</f>
        <v>8797.4460000002637</v>
      </c>
      <c r="M92" s="39">
        <f>K94+K95+K96+K97</f>
        <v>5315.2019999991408</v>
      </c>
      <c r="N92" s="40">
        <f>SUM(L92:M92)</f>
        <v>14112.647999999404</v>
      </c>
      <c r="O92" s="36">
        <v>50</v>
      </c>
      <c r="P92" s="36"/>
      <c r="Q92" s="35"/>
      <c r="R92" s="35"/>
      <c r="S92" s="35"/>
      <c r="T92" s="35"/>
      <c r="U92" s="35"/>
      <c r="V92" s="35"/>
      <c r="W92" s="37">
        <f>N92-O92-P92-Q92-R92-S92-T92-U92-V92</f>
        <v>14062.647999999404</v>
      </c>
      <c r="X92" s="36">
        <v>14063</v>
      </c>
      <c r="Y92" s="37">
        <f>X92-W92</f>
        <v>0.35200000059558079</v>
      </c>
      <c r="Z92" s="35"/>
      <c r="AA92" s="35"/>
      <c r="AB92" s="35"/>
    </row>
    <row r="93" spans="1:28" ht="15.75" customHeight="1" x14ac:dyDescent="0.35">
      <c r="A93" s="6" t="s">
        <v>45</v>
      </c>
      <c r="B93" s="2" t="s">
        <v>182</v>
      </c>
      <c r="C93" s="2" t="s">
        <v>25</v>
      </c>
      <c r="D93" s="2" t="s">
        <v>8</v>
      </c>
      <c r="E93" s="9">
        <v>2</v>
      </c>
      <c r="F93" s="9">
        <v>565173.82999999996</v>
      </c>
      <c r="G93" s="9">
        <v>565611.24</v>
      </c>
      <c r="I93" s="41">
        <f t="shared" si="2"/>
        <v>437.4100000000326</v>
      </c>
      <c r="J93" s="42">
        <v>12.6</v>
      </c>
      <c r="K93" s="43">
        <f t="shared" si="1"/>
        <v>5511.3660000004102</v>
      </c>
      <c r="M93" s="26"/>
      <c r="N93" s="26"/>
      <c r="O93" s="9"/>
      <c r="P93" s="9"/>
      <c r="W93" s="9"/>
      <c r="X93" s="9"/>
      <c r="Y93" s="9"/>
    </row>
    <row r="94" spans="1:28" ht="15.75" customHeight="1" x14ac:dyDescent="0.35">
      <c r="A94" s="6" t="s">
        <v>45</v>
      </c>
      <c r="B94" s="2" t="s">
        <v>182</v>
      </c>
      <c r="C94" s="2" t="s">
        <v>16</v>
      </c>
      <c r="D94" s="2" t="s">
        <v>8</v>
      </c>
      <c r="E94" s="9">
        <v>1</v>
      </c>
      <c r="F94" s="9">
        <v>286663.67</v>
      </c>
      <c r="G94" s="9">
        <v>286706.98</v>
      </c>
      <c r="I94" s="41">
        <f t="shared" si="2"/>
        <v>43.309999999997672</v>
      </c>
      <c r="J94" s="42">
        <v>14.2</v>
      </c>
      <c r="K94" s="43">
        <f t="shared" si="1"/>
        <v>615.00199999996687</v>
      </c>
      <c r="M94" s="26"/>
      <c r="N94" s="26"/>
      <c r="O94" s="9"/>
      <c r="P94" s="9"/>
      <c r="W94" s="9"/>
      <c r="X94" s="9"/>
      <c r="Y94" s="9"/>
    </row>
    <row r="95" spans="1:28" ht="15.75" customHeight="1" x14ac:dyDescent="0.35">
      <c r="A95" s="6" t="s">
        <v>45</v>
      </c>
      <c r="B95" s="2" t="s">
        <v>182</v>
      </c>
      <c r="C95" s="2" t="s">
        <v>16</v>
      </c>
      <c r="D95" s="2" t="s">
        <v>8</v>
      </c>
      <c r="E95" s="9">
        <v>2</v>
      </c>
      <c r="F95" s="9">
        <v>410201.19</v>
      </c>
      <c r="G95" s="9">
        <v>410345.59</v>
      </c>
      <c r="I95" s="41">
        <f t="shared" si="2"/>
        <v>144.40000000002328</v>
      </c>
      <c r="J95" s="42">
        <v>14.2</v>
      </c>
      <c r="K95" s="43">
        <f t="shared" si="1"/>
        <v>2050.4800000003306</v>
      </c>
      <c r="M95" s="26"/>
      <c r="N95" s="26"/>
      <c r="O95" s="9"/>
      <c r="P95" s="9"/>
      <c r="W95" s="9"/>
      <c r="X95" s="9"/>
      <c r="Y95" s="9"/>
    </row>
    <row r="96" spans="1:28" ht="15.75" customHeight="1" x14ac:dyDescent="0.35">
      <c r="A96" s="6" t="s">
        <v>45</v>
      </c>
      <c r="B96" s="2" t="s">
        <v>182</v>
      </c>
      <c r="C96" s="2" t="s">
        <v>16</v>
      </c>
      <c r="D96" s="2" t="s">
        <v>8</v>
      </c>
      <c r="E96" s="9">
        <v>3</v>
      </c>
      <c r="F96" s="9">
        <v>373610.26</v>
      </c>
      <c r="G96" s="9">
        <v>373780.66</v>
      </c>
      <c r="I96" s="41">
        <f t="shared" si="2"/>
        <v>170.39999999996508</v>
      </c>
      <c r="J96" s="42">
        <v>14.2</v>
      </c>
      <c r="K96" s="43">
        <f t="shared" si="1"/>
        <v>2419.6799999995042</v>
      </c>
      <c r="M96" s="26"/>
      <c r="N96" s="26"/>
      <c r="O96" s="9"/>
      <c r="P96" s="9"/>
      <c r="W96" s="9"/>
      <c r="X96" s="9"/>
      <c r="Y96" s="9"/>
    </row>
    <row r="97" spans="1:28" ht="15.75" customHeight="1" x14ac:dyDescent="0.35">
      <c r="A97" s="6" t="s">
        <v>45</v>
      </c>
      <c r="B97" s="2" t="s">
        <v>182</v>
      </c>
      <c r="C97" s="2" t="s">
        <v>16</v>
      </c>
      <c r="D97" s="2" t="s">
        <v>8</v>
      </c>
      <c r="E97" s="9">
        <v>4</v>
      </c>
      <c r="F97" s="9">
        <v>524532.89</v>
      </c>
      <c r="G97" s="9">
        <v>524549.09</v>
      </c>
      <c r="I97" s="41">
        <f t="shared" si="2"/>
        <v>16.199999999953434</v>
      </c>
      <c r="J97" s="42">
        <v>14.2</v>
      </c>
      <c r="K97" s="43">
        <f t="shared" si="1"/>
        <v>230.03999999933876</v>
      </c>
      <c r="M97" s="26"/>
      <c r="N97" s="26"/>
      <c r="O97" s="9"/>
      <c r="P97" s="9"/>
      <c r="W97" s="9"/>
      <c r="X97" s="9"/>
      <c r="Y97" s="9"/>
    </row>
    <row r="98" spans="1:28" ht="15.75" customHeight="1" x14ac:dyDescent="0.35">
      <c r="A98" s="44" t="s">
        <v>46</v>
      </c>
      <c r="B98" s="28" t="s">
        <v>155</v>
      </c>
      <c r="C98" s="28" t="s">
        <v>22</v>
      </c>
      <c r="D98" s="28" t="s">
        <v>4</v>
      </c>
      <c r="E98" s="29">
        <v>1</v>
      </c>
      <c r="F98" s="29">
        <v>355261.57</v>
      </c>
      <c r="G98" s="29">
        <v>355891.01</v>
      </c>
      <c r="H98" s="28"/>
      <c r="I98" s="28">
        <f t="shared" si="2"/>
        <v>629.44000000000233</v>
      </c>
      <c r="J98" s="29">
        <v>12.6</v>
      </c>
      <c r="K98" s="30">
        <f t="shared" si="1"/>
        <v>7930.9440000000295</v>
      </c>
      <c r="L98" s="31">
        <f>K98+K99</f>
        <v>16942.338000000793</v>
      </c>
      <c r="M98" s="32">
        <f>K100+K101+K102+K103</f>
        <v>7490.5000000008267</v>
      </c>
      <c r="N98" s="33">
        <f>SUM(L98:M98)</f>
        <v>24432.838000001619</v>
      </c>
      <c r="O98" s="29">
        <v>50</v>
      </c>
      <c r="P98" s="29"/>
      <c r="Q98" s="28"/>
      <c r="R98" s="28"/>
      <c r="S98" s="28"/>
      <c r="T98" s="28"/>
      <c r="U98" s="28">
        <v>2150</v>
      </c>
      <c r="V98" s="28"/>
      <c r="W98" s="30">
        <f>N98-O98-P98-Q98-R98-S98-T98-U98-V98</f>
        <v>22232.838000001619</v>
      </c>
      <c r="X98" s="29">
        <v>22233</v>
      </c>
      <c r="Y98" s="30">
        <f>X98-W98</f>
        <v>0.16199999838136137</v>
      </c>
      <c r="Z98" s="28"/>
      <c r="AA98" s="28"/>
      <c r="AB98" s="28"/>
    </row>
    <row r="99" spans="1:28" ht="15.75" customHeight="1" x14ac:dyDescent="0.35">
      <c r="A99" s="6" t="s">
        <v>46</v>
      </c>
      <c r="B99" s="2" t="s">
        <v>155</v>
      </c>
      <c r="C99" s="2" t="s">
        <v>22</v>
      </c>
      <c r="D99" s="2" t="s">
        <v>4</v>
      </c>
      <c r="E99" s="9">
        <v>2</v>
      </c>
      <c r="F99" s="9">
        <v>565611.24</v>
      </c>
      <c r="G99" s="9">
        <v>566326.43000000005</v>
      </c>
      <c r="I99" s="41">
        <f t="shared" si="2"/>
        <v>715.19000000006054</v>
      </c>
      <c r="J99" s="42">
        <v>12.6</v>
      </c>
      <c r="K99" s="43">
        <f t="shared" si="1"/>
        <v>9011.3940000007624</v>
      </c>
      <c r="M99" s="26"/>
      <c r="N99" s="26"/>
      <c r="O99" s="9"/>
      <c r="P99" s="9"/>
      <c r="W99" s="9"/>
      <c r="X99" s="9"/>
      <c r="Y99" s="9"/>
    </row>
    <row r="100" spans="1:28" ht="15.75" customHeight="1" x14ac:dyDescent="0.35">
      <c r="A100" s="6" t="s">
        <v>46</v>
      </c>
      <c r="B100" s="2" t="s">
        <v>155</v>
      </c>
      <c r="C100" s="2" t="s">
        <v>20</v>
      </c>
      <c r="D100" s="2" t="s">
        <v>8</v>
      </c>
      <c r="E100" s="9">
        <v>1</v>
      </c>
      <c r="F100" s="9">
        <v>286706.98</v>
      </c>
      <c r="G100" s="9">
        <v>286882.34999999998</v>
      </c>
      <c r="I100" s="41">
        <f t="shared" si="2"/>
        <v>175.36999999999534</v>
      </c>
      <c r="J100" s="42">
        <v>14.2</v>
      </c>
      <c r="K100" s="43">
        <f t="shared" si="1"/>
        <v>2490.253999999934</v>
      </c>
      <c r="M100" s="26"/>
      <c r="N100" s="26"/>
      <c r="O100" s="9"/>
      <c r="P100" s="9"/>
      <c r="W100" s="9"/>
      <c r="X100" s="9"/>
      <c r="Y100" s="9"/>
    </row>
    <row r="101" spans="1:28" ht="15.75" customHeight="1" x14ac:dyDescent="0.35">
      <c r="A101" s="6" t="s">
        <v>46</v>
      </c>
      <c r="B101" s="2" t="s">
        <v>155</v>
      </c>
      <c r="C101" s="2" t="s">
        <v>20</v>
      </c>
      <c r="D101" s="2" t="s">
        <v>8</v>
      </c>
      <c r="E101" s="9">
        <v>2</v>
      </c>
      <c r="F101" s="9">
        <v>410345.59</v>
      </c>
      <c r="G101" s="9">
        <v>410345.59</v>
      </c>
      <c r="I101" s="41">
        <f t="shared" si="2"/>
        <v>0</v>
      </c>
      <c r="J101" s="42">
        <v>14.2</v>
      </c>
      <c r="K101" s="43">
        <f t="shared" si="1"/>
        <v>0</v>
      </c>
      <c r="M101" s="26"/>
      <c r="N101" s="26"/>
      <c r="O101" s="9"/>
      <c r="P101" s="9"/>
      <c r="W101" s="9"/>
      <c r="X101" s="9"/>
      <c r="Y101" s="9"/>
    </row>
    <row r="102" spans="1:28" ht="15.75" customHeight="1" x14ac:dyDescent="0.35">
      <c r="A102" s="6" t="s">
        <v>46</v>
      </c>
      <c r="B102" s="2" t="s">
        <v>155</v>
      </c>
      <c r="C102" s="2" t="s">
        <v>20</v>
      </c>
      <c r="D102" s="2" t="s">
        <v>8</v>
      </c>
      <c r="E102" s="9">
        <v>3</v>
      </c>
      <c r="F102" s="9">
        <v>373780.66</v>
      </c>
      <c r="G102" s="9">
        <v>373962.36</v>
      </c>
      <c r="I102" s="41">
        <f t="shared" si="2"/>
        <v>181.70000000001164</v>
      </c>
      <c r="J102" s="42">
        <v>14.2</v>
      </c>
      <c r="K102" s="43">
        <f t="shared" si="1"/>
        <v>2580.1400000001654</v>
      </c>
      <c r="M102" s="26"/>
      <c r="N102" s="26"/>
      <c r="O102" s="9"/>
      <c r="P102" s="9"/>
      <c r="W102" s="9"/>
      <c r="X102" s="9"/>
      <c r="Y102" s="9"/>
    </row>
    <row r="103" spans="1:28" ht="15.75" customHeight="1" x14ac:dyDescent="0.35">
      <c r="A103" s="6" t="s">
        <v>46</v>
      </c>
      <c r="B103" s="2" t="s">
        <v>155</v>
      </c>
      <c r="C103" s="2" t="s">
        <v>20</v>
      </c>
      <c r="D103" s="2" t="s">
        <v>8</v>
      </c>
      <c r="E103" s="9">
        <v>4</v>
      </c>
      <c r="F103" s="9">
        <v>524549.09</v>
      </c>
      <c r="G103" s="9">
        <v>524719.52</v>
      </c>
      <c r="I103" s="41">
        <f t="shared" si="2"/>
        <v>170.43000000005122</v>
      </c>
      <c r="J103" s="42">
        <v>14.2</v>
      </c>
      <c r="K103" s="43">
        <f t="shared" si="1"/>
        <v>2420.1060000007274</v>
      </c>
      <c r="M103" s="26"/>
      <c r="N103" s="26"/>
      <c r="O103" s="9"/>
      <c r="P103" s="9"/>
      <c r="W103" s="9"/>
      <c r="X103" s="9"/>
      <c r="Y103" s="9"/>
    </row>
    <row r="104" spans="1:28" ht="15.75" customHeight="1" x14ac:dyDescent="0.35">
      <c r="A104" s="44" t="s">
        <v>47</v>
      </c>
      <c r="B104" s="28" t="s">
        <v>156</v>
      </c>
      <c r="C104" s="28" t="s">
        <v>20</v>
      </c>
      <c r="D104" s="28" t="s">
        <v>4</v>
      </c>
      <c r="E104" s="29">
        <v>1</v>
      </c>
      <c r="F104" s="29">
        <v>355891.01</v>
      </c>
      <c r="G104" s="29">
        <v>356204.15</v>
      </c>
      <c r="H104" s="28"/>
      <c r="I104" s="28">
        <f t="shared" si="2"/>
        <v>313.14000000001397</v>
      </c>
      <c r="J104" s="29">
        <v>12.6</v>
      </c>
      <c r="K104" s="30">
        <f t="shared" si="1"/>
        <v>3945.5640000001758</v>
      </c>
      <c r="L104" s="31">
        <f>K104+K105</f>
        <v>14015.609999999706</v>
      </c>
      <c r="M104" s="32">
        <f>K106+K107+K108+K109</f>
        <v>23831.149999998346</v>
      </c>
      <c r="N104" s="33">
        <f>SUM(L104:M104)</f>
        <v>37846.759999998052</v>
      </c>
      <c r="O104" s="29"/>
      <c r="P104" s="29"/>
      <c r="Q104" s="28"/>
      <c r="R104" s="28"/>
      <c r="S104" s="28"/>
      <c r="T104" s="28"/>
      <c r="U104" s="28"/>
      <c r="V104" s="28"/>
      <c r="W104" s="30">
        <f>N104-O104-P104-Q104-R104-S104-T104-U104-V104</f>
        <v>37846.759999998052</v>
      </c>
      <c r="X104" s="29">
        <v>37847</v>
      </c>
      <c r="Y104" s="30">
        <f>X104-W104</f>
        <v>0.24000000194791937</v>
      </c>
      <c r="Z104" s="28"/>
      <c r="AA104" s="28"/>
      <c r="AB104" s="28"/>
    </row>
    <row r="105" spans="1:28" ht="15.75" customHeight="1" x14ac:dyDescent="0.35">
      <c r="A105" s="6" t="s">
        <v>47</v>
      </c>
      <c r="B105" s="2" t="s">
        <v>156</v>
      </c>
      <c r="C105" s="2" t="s">
        <v>20</v>
      </c>
      <c r="D105" s="2" t="s">
        <v>4</v>
      </c>
      <c r="E105" s="9">
        <v>2</v>
      </c>
      <c r="F105" s="9">
        <v>566326.43000000005</v>
      </c>
      <c r="G105" s="9">
        <v>567125.64</v>
      </c>
      <c r="I105" s="41">
        <f t="shared" si="2"/>
        <v>799.20999999996275</v>
      </c>
      <c r="J105" s="42">
        <v>12.6</v>
      </c>
      <c r="K105" s="43">
        <f t="shared" si="1"/>
        <v>10070.045999999531</v>
      </c>
      <c r="M105" s="26"/>
      <c r="N105" s="26"/>
      <c r="O105" s="9"/>
      <c r="P105" s="9"/>
      <c r="W105" s="9"/>
      <c r="X105" s="9"/>
      <c r="Y105" s="9"/>
    </row>
    <row r="106" spans="1:28" ht="15.75" customHeight="1" x14ac:dyDescent="0.35">
      <c r="A106" s="6" t="s">
        <v>47</v>
      </c>
      <c r="B106" s="2" t="s">
        <v>156</v>
      </c>
      <c r="C106" s="2" t="s">
        <v>22</v>
      </c>
      <c r="D106" s="2" t="s">
        <v>8</v>
      </c>
      <c r="E106" s="9">
        <v>1</v>
      </c>
      <c r="F106" s="9">
        <v>286882.34999999998</v>
      </c>
      <c r="G106" s="9">
        <v>287392.90999999997</v>
      </c>
      <c r="I106" s="41">
        <f t="shared" si="2"/>
        <v>510.55999999999767</v>
      </c>
      <c r="J106" s="42">
        <v>14.2</v>
      </c>
      <c r="K106" s="43">
        <f t="shared" si="1"/>
        <v>7249.9519999999666</v>
      </c>
      <c r="M106" s="26"/>
      <c r="N106" s="26"/>
      <c r="O106" s="9"/>
      <c r="P106" s="9"/>
      <c r="W106" s="9"/>
      <c r="X106" s="9"/>
      <c r="Y106" s="9"/>
    </row>
    <row r="107" spans="1:28" ht="15.75" customHeight="1" x14ac:dyDescent="0.35">
      <c r="A107" s="6" t="s">
        <v>47</v>
      </c>
      <c r="B107" s="2" t="s">
        <v>156</v>
      </c>
      <c r="C107" s="2" t="s">
        <v>22</v>
      </c>
      <c r="D107" s="2" t="s">
        <v>8</v>
      </c>
      <c r="E107" s="9">
        <v>2</v>
      </c>
      <c r="F107" s="9">
        <v>410345.59</v>
      </c>
      <c r="G107" s="9">
        <v>410399.62</v>
      </c>
      <c r="I107" s="41">
        <f t="shared" si="2"/>
        <v>54.029999999969732</v>
      </c>
      <c r="J107" s="42">
        <v>14.2</v>
      </c>
      <c r="K107" s="43">
        <f t="shared" si="1"/>
        <v>767.22599999957015</v>
      </c>
      <c r="M107" s="26"/>
      <c r="N107" s="26"/>
      <c r="O107" s="9"/>
      <c r="P107" s="9"/>
      <c r="W107" s="9"/>
      <c r="X107" s="9"/>
      <c r="Y107" s="9"/>
    </row>
    <row r="108" spans="1:28" ht="15.75" customHeight="1" x14ac:dyDescent="0.35">
      <c r="A108" s="6" t="s">
        <v>47</v>
      </c>
      <c r="B108" s="2" t="s">
        <v>156</v>
      </c>
      <c r="C108" s="2" t="s">
        <v>22</v>
      </c>
      <c r="D108" s="2" t="s">
        <v>8</v>
      </c>
      <c r="E108" s="9">
        <v>3</v>
      </c>
      <c r="F108" s="9">
        <v>373962.36</v>
      </c>
      <c r="G108" s="9">
        <v>374922.47</v>
      </c>
      <c r="I108" s="41">
        <f t="shared" si="2"/>
        <v>960.10999999998603</v>
      </c>
      <c r="J108" s="42">
        <v>14.2</v>
      </c>
      <c r="K108" s="43">
        <f t="shared" si="1"/>
        <v>13633.561999999802</v>
      </c>
      <c r="M108" s="26"/>
      <c r="N108" s="26"/>
      <c r="O108" s="9"/>
      <c r="P108" s="9"/>
      <c r="W108" s="9"/>
      <c r="X108" s="9"/>
      <c r="Y108" s="9"/>
    </row>
    <row r="109" spans="1:28" ht="15.75" customHeight="1" x14ac:dyDescent="0.35">
      <c r="A109" s="6" t="s">
        <v>47</v>
      </c>
      <c r="B109" s="2" t="s">
        <v>156</v>
      </c>
      <c r="C109" s="2" t="s">
        <v>22</v>
      </c>
      <c r="D109" s="2" t="s">
        <v>8</v>
      </c>
      <c r="E109" s="9">
        <v>4</v>
      </c>
      <c r="F109" s="9">
        <v>524719.52</v>
      </c>
      <c r="G109" s="9">
        <v>524873.06999999995</v>
      </c>
      <c r="I109" s="41">
        <f t="shared" si="2"/>
        <v>153.54999999993015</v>
      </c>
      <c r="J109" s="42">
        <v>14.2</v>
      </c>
      <c r="K109" s="43">
        <f t="shared" si="1"/>
        <v>2180.4099999990081</v>
      </c>
      <c r="M109" s="26"/>
      <c r="N109" s="26"/>
      <c r="O109" s="9"/>
      <c r="P109" s="9"/>
      <c r="W109" s="9"/>
      <c r="X109" s="9"/>
      <c r="Y109" s="9"/>
    </row>
    <row r="110" spans="1:28" ht="15.75" customHeight="1" x14ac:dyDescent="0.35">
      <c r="A110" s="45" t="s">
        <v>48</v>
      </c>
      <c r="B110" s="35" t="s">
        <v>183</v>
      </c>
      <c r="C110" s="35" t="s">
        <v>16</v>
      </c>
      <c r="D110" s="35" t="s">
        <v>4</v>
      </c>
      <c r="E110" s="36">
        <v>1</v>
      </c>
      <c r="F110" s="36">
        <v>356204.15</v>
      </c>
      <c r="G110" s="36">
        <v>356564.83</v>
      </c>
      <c r="H110" s="35"/>
      <c r="I110" s="35">
        <f t="shared" si="2"/>
        <v>360.67999999999302</v>
      </c>
      <c r="J110" s="36">
        <v>12.6</v>
      </c>
      <c r="K110" s="37">
        <f t="shared" si="1"/>
        <v>4544.567999999912</v>
      </c>
      <c r="L110" s="38">
        <f>K110+K111</f>
        <v>12216.455999999969</v>
      </c>
      <c r="M110" s="39">
        <f>K112+K113+K114+K115</f>
        <v>5700.306000001553</v>
      </c>
      <c r="N110" s="40">
        <f>SUM(L110:M110)</f>
        <v>17916.762000001523</v>
      </c>
      <c r="O110" s="36"/>
      <c r="P110" s="36"/>
      <c r="Q110" s="35"/>
      <c r="R110" s="35"/>
      <c r="S110" s="35"/>
      <c r="T110" s="35"/>
      <c r="U110" s="35"/>
      <c r="V110" s="35"/>
      <c r="W110" s="37">
        <f>N110-O110-P110-Q110-R110-S110-T110-U110-V110</f>
        <v>17916.762000001523</v>
      </c>
      <c r="X110" s="36">
        <v>17917</v>
      </c>
      <c r="Y110" s="37">
        <f>X110-W110</f>
        <v>0.23799999847688014</v>
      </c>
      <c r="Z110" s="35"/>
      <c r="AA110" s="35"/>
      <c r="AB110" s="35"/>
    </row>
    <row r="111" spans="1:28" ht="15.75" customHeight="1" x14ac:dyDescent="0.35">
      <c r="A111" s="6" t="s">
        <v>48</v>
      </c>
      <c r="B111" s="2" t="s">
        <v>183</v>
      </c>
      <c r="C111" s="2" t="s">
        <v>16</v>
      </c>
      <c r="D111" s="2" t="s">
        <v>4</v>
      </c>
      <c r="E111" s="9">
        <v>2</v>
      </c>
      <c r="F111" s="9">
        <v>567125.64</v>
      </c>
      <c r="G111" s="9">
        <v>567734.52</v>
      </c>
      <c r="I111" s="41">
        <f t="shared" si="2"/>
        <v>608.88000000000466</v>
      </c>
      <c r="J111" s="42">
        <v>12.6</v>
      </c>
      <c r="K111" s="43">
        <f t="shared" si="1"/>
        <v>7671.8880000000581</v>
      </c>
      <c r="M111" s="26"/>
      <c r="N111" s="26"/>
      <c r="O111" s="9"/>
      <c r="P111" s="9"/>
      <c r="W111" s="9"/>
      <c r="X111" s="9"/>
      <c r="Y111" s="9"/>
    </row>
    <row r="112" spans="1:28" ht="15.75" customHeight="1" x14ac:dyDescent="0.35">
      <c r="A112" s="6" t="s">
        <v>48</v>
      </c>
      <c r="B112" s="2" t="s">
        <v>183</v>
      </c>
      <c r="C112" s="2" t="s">
        <v>16</v>
      </c>
      <c r="D112" s="2" t="s">
        <v>8</v>
      </c>
      <c r="E112" s="9">
        <v>1</v>
      </c>
      <c r="F112" s="9">
        <v>287392.90999999997</v>
      </c>
      <c r="G112" s="9">
        <v>287399.95</v>
      </c>
      <c r="I112" s="41">
        <f t="shared" si="2"/>
        <v>7.0400000000372529</v>
      </c>
      <c r="J112" s="42">
        <v>14.2</v>
      </c>
      <c r="K112" s="43">
        <f t="shared" si="1"/>
        <v>99.968000000528988</v>
      </c>
      <c r="M112" s="26"/>
      <c r="N112" s="26"/>
      <c r="O112" s="9"/>
      <c r="P112" s="9"/>
      <c r="W112" s="9"/>
      <c r="X112" s="9"/>
      <c r="Y112" s="9"/>
    </row>
    <row r="113" spans="1:28" ht="15.75" customHeight="1" x14ac:dyDescent="0.35">
      <c r="A113" s="6" t="s">
        <v>48</v>
      </c>
      <c r="B113" s="2" t="s">
        <v>183</v>
      </c>
      <c r="C113" s="2" t="s">
        <v>25</v>
      </c>
      <c r="D113" s="2" t="s">
        <v>8</v>
      </c>
      <c r="E113" s="9">
        <v>2</v>
      </c>
      <c r="F113" s="9">
        <v>410399.62</v>
      </c>
      <c r="G113" s="9">
        <v>410413.71</v>
      </c>
      <c r="I113" s="41">
        <f t="shared" si="2"/>
        <v>14.090000000025611</v>
      </c>
      <c r="J113" s="42">
        <v>14.2</v>
      </c>
      <c r="K113" s="43">
        <f t="shared" si="1"/>
        <v>200.07800000036366</v>
      </c>
      <c r="M113" s="26"/>
      <c r="N113" s="26"/>
      <c r="O113" s="9"/>
      <c r="P113" s="9"/>
      <c r="W113" s="9"/>
      <c r="X113" s="9"/>
      <c r="Y113" s="9"/>
    </row>
    <row r="114" spans="1:28" ht="15.75" customHeight="1" x14ac:dyDescent="0.35">
      <c r="A114" s="6" t="s">
        <v>48</v>
      </c>
      <c r="B114" s="2" t="s">
        <v>183</v>
      </c>
      <c r="C114" s="2" t="s">
        <v>25</v>
      </c>
      <c r="D114" s="2" t="s">
        <v>8</v>
      </c>
      <c r="E114" s="9">
        <v>3</v>
      </c>
      <c r="F114" s="9">
        <v>374922.47</v>
      </c>
      <c r="G114" s="9">
        <v>375170.23</v>
      </c>
      <c r="I114" s="41">
        <f t="shared" si="2"/>
        <v>247.76000000000931</v>
      </c>
      <c r="J114" s="42">
        <v>14.2</v>
      </c>
      <c r="K114" s="43">
        <f t="shared" si="1"/>
        <v>3518.1920000001319</v>
      </c>
      <c r="M114" s="26"/>
      <c r="N114" s="26"/>
      <c r="O114" s="9"/>
      <c r="P114" s="9"/>
      <c r="W114" s="9"/>
      <c r="X114" s="9"/>
      <c r="Y114" s="9"/>
    </row>
    <row r="115" spans="1:28" ht="15.75" customHeight="1" x14ac:dyDescent="0.35">
      <c r="A115" s="6" t="s">
        <v>48</v>
      </c>
      <c r="B115" s="2" t="s">
        <v>183</v>
      </c>
      <c r="C115" s="2" t="s">
        <v>25</v>
      </c>
      <c r="D115" s="2" t="s">
        <v>8</v>
      </c>
      <c r="E115" s="9">
        <v>4</v>
      </c>
      <c r="F115" s="9">
        <v>524873.06999999995</v>
      </c>
      <c r="G115" s="9">
        <v>525005.61</v>
      </c>
      <c r="I115" s="41">
        <f t="shared" si="2"/>
        <v>132.54000000003725</v>
      </c>
      <c r="J115" s="42">
        <v>14.2</v>
      </c>
      <c r="K115" s="43">
        <f t="shared" si="1"/>
        <v>1882.0680000005289</v>
      </c>
      <c r="M115" s="26"/>
      <c r="N115" s="26"/>
      <c r="O115" s="9"/>
      <c r="P115" s="9"/>
      <c r="W115" s="9"/>
      <c r="X115" s="9"/>
      <c r="Y115" s="9"/>
    </row>
    <row r="116" spans="1:28" ht="15.75" customHeight="1" x14ac:dyDescent="0.35">
      <c r="A116" s="45" t="s">
        <v>49</v>
      </c>
      <c r="B116" s="35" t="s">
        <v>158</v>
      </c>
      <c r="C116" s="35" t="s">
        <v>25</v>
      </c>
      <c r="D116" s="35" t="s">
        <v>4</v>
      </c>
      <c r="E116" s="36">
        <v>1</v>
      </c>
      <c r="F116" s="36">
        <v>356564.83</v>
      </c>
      <c r="G116" s="36">
        <v>356999.28</v>
      </c>
      <c r="H116" s="35"/>
      <c r="I116" s="35">
        <f t="shared" si="2"/>
        <v>434.45000000001164</v>
      </c>
      <c r="J116" s="36">
        <v>12.6</v>
      </c>
      <c r="K116" s="37">
        <f t="shared" si="1"/>
        <v>5474.0700000001461</v>
      </c>
      <c r="L116" s="38">
        <f>K116+K117</f>
        <v>15966.46799999991</v>
      </c>
      <c r="M116" s="39">
        <f>K118+K119+K120+K121</f>
        <v>69477.901999999973</v>
      </c>
      <c r="N116" s="40">
        <f>SUM(L116:M116)</f>
        <v>85444.369999999879</v>
      </c>
      <c r="O116" s="36">
        <v>50</v>
      </c>
      <c r="P116" s="36"/>
      <c r="Q116" s="35"/>
      <c r="R116" s="35"/>
      <c r="S116" s="35"/>
      <c r="T116" s="35"/>
      <c r="U116" s="35"/>
      <c r="V116" s="35"/>
      <c r="W116" s="37">
        <f>N116-O116-P116-Q116-R116-S116-T116-U116-V116</f>
        <v>85394.369999999879</v>
      </c>
      <c r="X116" s="36">
        <v>85395</v>
      </c>
      <c r="Y116" s="37">
        <f>X116-W116</f>
        <v>0.63000000012107193</v>
      </c>
      <c r="Z116" s="35"/>
      <c r="AA116" s="35"/>
      <c r="AB116" s="35"/>
    </row>
    <row r="117" spans="1:28" ht="15.75" customHeight="1" x14ac:dyDescent="0.35">
      <c r="A117" s="6" t="s">
        <v>49</v>
      </c>
      <c r="B117" s="2" t="s">
        <v>158</v>
      </c>
      <c r="C117" s="2" t="s">
        <v>25</v>
      </c>
      <c r="D117" s="2" t="s">
        <v>8</v>
      </c>
      <c r="E117" s="9">
        <v>2</v>
      </c>
      <c r="F117" s="9">
        <v>567734.52</v>
      </c>
      <c r="G117" s="9">
        <v>568567.25</v>
      </c>
      <c r="I117" s="41">
        <f t="shared" si="2"/>
        <v>832.72999999998137</v>
      </c>
      <c r="J117" s="42">
        <v>12.6</v>
      </c>
      <c r="K117" s="43">
        <f t="shared" si="1"/>
        <v>10492.397999999765</v>
      </c>
      <c r="M117" s="26"/>
      <c r="N117" s="26"/>
      <c r="O117" s="9"/>
      <c r="P117" s="9"/>
      <c r="W117" s="9"/>
      <c r="X117" s="9"/>
      <c r="Y117" s="9"/>
    </row>
    <row r="118" spans="1:28" ht="15.75" customHeight="1" x14ac:dyDescent="0.35">
      <c r="A118" s="6" t="s">
        <v>49</v>
      </c>
      <c r="B118" s="2" t="s">
        <v>158</v>
      </c>
      <c r="C118" s="2" t="s">
        <v>16</v>
      </c>
      <c r="D118" s="2" t="s">
        <v>8</v>
      </c>
      <c r="E118" s="9">
        <v>1</v>
      </c>
      <c r="F118" s="9">
        <v>287399.95</v>
      </c>
      <c r="G118" s="9">
        <v>288525.13</v>
      </c>
      <c r="I118" s="41">
        <f t="shared" si="2"/>
        <v>1125.179999999993</v>
      </c>
      <c r="J118" s="42">
        <v>14.2</v>
      </c>
      <c r="K118" s="43">
        <f t="shared" si="1"/>
        <v>15977.5559999999</v>
      </c>
      <c r="M118" s="26"/>
      <c r="N118" s="26"/>
      <c r="O118" s="9"/>
      <c r="P118" s="9"/>
      <c r="W118" s="9"/>
      <c r="X118" s="9"/>
      <c r="Y118" s="9"/>
    </row>
    <row r="119" spans="1:28" ht="15.75" customHeight="1" x14ac:dyDescent="0.35">
      <c r="A119" s="6" t="s">
        <v>49</v>
      </c>
      <c r="B119" s="2" t="s">
        <v>158</v>
      </c>
      <c r="C119" s="2" t="s">
        <v>16</v>
      </c>
      <c r="D119" s="2" t="s">
        <v>8</v>
      </c>
      <c r="E119" s="9">
        <v>2</v>
      </c>
      <c r="F119" s="9">
        <v>410413.71</v>
      </c>
      <c r="G119" s="9">
        <v>411676.32</v>
      </c>
      <c r="I119" s="41">
        <f t="shared" si="2"/>
        <v>1262.609999999986</v>
      </c>
      <c r="J119" s="42">
        <v>14.2</v>
      </c>
      <c r="K119" s="43">
        <f t="shared" si="1"/>
        <v>17929.061999999802</v>
      </c>
      <c r="M119" s="26"/>
      <c r="N119" s="26"/>
      <c r="O119" s="9"/>
      <c r="P119" s="9"/>
      <c r="W119" s="9"/>
      <c r="X119" s="9"/>
      <c r="Y119" s="9"/>
    </row>
    <row r="120" spans="1:28" ht="15.75" customHeight="1" x14ac:dyDescent="0.35">
      <c r="A120" s="6" t="s">
        <v>49</v>
      </c>
      <c r="B120" s="2" t="s">
        <v>158</v>
      </c>
      <c r="C120" s="2" t="s">
        <v>16</v>
      </c>
      <c r="D120" s="2" t="s">
        <v>8</v>
      </c>
      <c r="E120" s="9">
        <v>3</v>
      </c>
      <c r="F120" s="9">
        <v>375170.23</v>
      </c>
      <c r="G120" s="9">
        <v>376311.63</v>
      </c>
      <c r="I120" s="41">
        <f t="shared" si="2"/>
        <v>1141.4000000000233</v>
      </c>
      <c r="J120" s="42">
        <v>14.2</v>
      </c>
      <c r="K120" s="43">
        <f t="shared" si="1"/>
        <v>16207.88000000033</v>
      </c>
      <c r="M120" s="26"/>
      <c r="N120" s="26"/>
      <c r="O120" s="9"/>
      <c r="P120" s="9"/>
      <c r="W120" s="9"/>
      <c r="X120" s="9"/>
      <c r="Y120" s="9"/>
    </row>
    <row r="121" spans="1:28" ht="15.75" customHeight="1" x14ac:dyDescent="0.35">
      <c r="A121" s="6" t="s">
        <v>49</v>
      </c>
      <c r="B121" s="2" t="s">
        <v>158</v>
      </c>
      <c r="C121" s="2" t="s">
        <v>16</v>
      </c>
      <c r="D121" s="2" t="s">
        <v>8</v>
      </c>
      <c r="E121" s="9">
        <v>4</v>
      </c>
      <c r="F121" s="9">
        <v>525005.61</v>
      </c>
      <c r="G121" s="9">
        <v>526369.23</v>
      </c>
      <c r="I121" s="41">
        <f t="shared" si="2"/>
        <v>1363.6199999999953</v>
      </c>
      <c r="J121" s="42">
        <v>14.2</v>
      </c>
      <c r="K121" s="43">
        <f t="shared" si="1"/>
        <v>19363.403999999933</v>
      </c>
      <c r="M121" s="26"/>
      <c r="N121" s="26"/>
      <c r="O121" s="9"/>
      <c r="P121" s="9"/>
      <c r="W121" s="9"/>
      <c r="X121" s="9"/>
      <c r="Y121" s="9"/>
    </row>
    <row r="122" spans="1:28" ht="15.75" customHeight="1" x14ac:dyDescent="0.35">
      <c r="A122" s="44" t="s">
        <v>50</v>
      </c>
      <c r="B122" s="28" t="s">
        <v>159</v>
      </c>
      <c r="C122" s="28" t="s">
        <v>22</v>
      </c>
      <c r="D122" s="28" t="s">
        <v>4</v>
      </c>
      <c r="E122" s="29">
        <v>1</v>
      </c>
      <c r="F122" s="29">
        <v>356999.28</v>
      </c>
      <c r="G122" s="29">
        <v>357623.98</v>
      </c>
      <c r="H122" s="28">
        <v>10</v>
      </c>
      <c r="I122" s="28">
        <f t="shared" si="2"/>
        <v>614.69999999995343</v>
      </c>
      <c r="J122" s="29">
        <v>12.6</v>
      </c>
      <c r="K122" s="30">
        <f t="shared" si="1"/>
        <v>7745.2199999994127</v>
      </c>
      <c r="L122" s="31">
        <f>K122+K123</f>
        <v>18377.099999999999</v>
      </c>
      <c r="M122" s="32">
        <f>K124+K125+K126+K127</f>
        <v>6316.0179999997017</v>
      </c>
      <c r="N122" s="33">
        <f>SUM(L122:M122)</f>
        <v>24693.1179999997</v>
      </c>
      <c r="O122" s="29">
        <v>50</v>
      </c>
      <c r="P122" s="29"/>
      <c r="Q122" s="28"/>
      <c r="R122" s="28"/>
      <c r="S122" s="28"/>
      <c r="T122" s="28"/>
      <c r="U122" s="28"/>
      <c r="V122" s="28"/>
      <c r="W122" s="30">
        <f>N122-O122-P122-Q122-R122-S122-T122-U122-V122</f>
        <v>24643.1179999997</v>
      </c>
      <c r="X122" s="29">
        <v>24644</v>
      </c>
      <c r="Y122" s="30">
        <f>X122-W122</f>
        <v>0.88200000029974035</v>
      </c>
      <c r="Z122" s="28"/>
      <c r="AA122" s="28"/>
      <c r="AB122" s="28"/>
    </row>
    <row r="123" spans="1:28" ht="15.75" customHeight="1" x14ac:dyDescent="0.35">
      <c r="A123" s="6" t="s">
        <v>50</v>
      </c>
      <c r="B123" s="2" t="s">
        <v>159</v>
      </c>
      <c r="C123" s="2" t="s">
        <v>22</v>
      </c>
      <c r="D123" s="2" t="s">
        <v>4</v>
      </c>
      <c r="E123" s="9">
        <v>2</v>
      </c>
      <c r="F123" s="9">
        <v>568567.25</v>
      </c>
      <c r="G123" s="9">
        <v>569421.05000000005</v>
      </c>
      <c r="H123" s="2">
        <v>10</v>
      </c>
      <c r="I123" s="41">
        <f t="shared" si="2"/>
        <v>843.80000000004657</v>
      </c>
      <c r="J123" s="42">
        <v>12.6</v>
      </c>
      <c r="K123" s="43">
        <f t="shared" si="1"/>
        <v>10631.880000000587</v>
      </c>
      <c r="M123" s="26"/>
      <c r="N123" s="26"/>
      <c r="O123" s="9"/>
      <c r="P123" s="9"/>
      <c r="W123" s="9"/>
      <c r="X123" s="9"/>
      <c r="Y123" s="9"/>
    </row>
    <row r="124" spans="1:28" ht="15.75" customHeight="1" x14ac:dyDescent="0.35">
      <c r="A124" s="6" t="s">
        <v>50</v>
      </c>
      <c r="B124" s="2" t="s">
        <v>159</v>
      </c>
      <c r="C124" s="2" t="s">
        <v>20</v>
      </c>
      <c r="D124" s="2" t="s">
        <v>8</v>
      </c>
      <c r="E124" s="9">
        <v>1</v>
      </c>
      <c r="F124" s="9">
        <v>288525.13</v>
      </c>
      <c r="G124" s="9">
        <v>288657.53999999998</v>
      </c>
      <c r="H124" s="2">
        <v>10</v>
      </c>
      <c r="I124" s="41">
        <f t="shared" si="2"/>
        <v>122.40999999997439</v>
      </c>
      <c r="J124" s="42">
        <v>14.2</v>
      </c>
      <c r="K124" s="43">
        <f t="shared" si="1"/>
        <v>1738.2219999996362</v>
      </c>
      <c r="M124" s="26"/>
      <c r="N124" s="26"/>
      <c r="O124" s="9"/>
      <c r="P124" s="9"/>
      <c r="W124" s="9"/>
      <c r="X124" s="9"/>
      <c r="Y124" s="9"/>
    </row>
    <row r="125" spans="1:28" ht="15.75" customHeight="1" x14ac:dyDescent="0.35">
      <c r="A125" s="6" t="s">
        <v>50</v>
      </c>
      <c r="B125" s="2" t="s">
        <v>159</v>
      </c>
      <c r="C125" s="2" t="s">
        <v>20</v>
      </c>
      <c r="D125" s="2" t="s">
        <v>8</v>
      </c>
      <c r="E125" s="9">
        <v>2</v>
      </c>
      <c r="F125" s="9">
        <v>411676.32</v>
      </c>
      <c r="G125" s="9">
        <v>411676.32</v>
      </c>
      <c r="H125" s="2">
        <v>10</v>
      </c>
      <c r="I125" s="41">
        <f t="shared" si="2"/>
        <v>-10</v>
      </c>
      <c r="J125" s="42">
        <v>14.2</v>
      </c>
      <c r="K125" s="43">
        <f t="shared" si="1"/>
        <v>-142</v>
      </c>
      <c r="M125" s="26"/>
      <c r="N125" s="26"/>
      <c r="O125" s="9"/>
      <c r="P125" s="9"/>
      <c r="W125" s="9"/>
      <c r="X125" s="9"/>
      <c r="Y125" s="9"/>
    </row>
    <row r="126" spans="1:28" ht="15.75" customHeight="1" x14ac:dyDescent="0.35">
      <c r="A126" s="6" t="s">
        <v>50</v>
      </c>
      <c r="B126" s="2" t="s">
        <v>159</v>
      </c>
      <c r="C126" s="2" t="s">
        <v>20</v>
      </c>
      <c r="D126" s="2" t="s">
        <v>8</v>
      </c>
      <c r="E126" s="9">
        <v>3</v>
      </c>
      <c r="F126" s="9">
        <v>376311.63</v>
      </c>
      <c r="G126" s="9">
        <v>376469.76000000001</v>
      </c>
      <c r="H126" s="2">
        <v>10</v>
      </c>
      <c r="I126" s="41">
        <f t="shared" si="2"/>
        <v>148.13000000000466</v>
      </c>
      <c r="J126" s="42">
        <v>14.2</v>
      </c>
      <c r="K126" s="43">
        <f t="shared" si="1"/>
        <v>2103.4460000000659</v>
      </c>
      <c r="M126" s="26"/>
      <c r="N126" s="26"/>
      <c r="O126" s="9"/>
      <c r="P126" s="9"/>
      <c r="W126" s="9"/>
      <c r="X126" s="9"/>
      <c r="Y126" s="9"/>
    </row>
    <row r="127" spans="1:28" ht="15.75" customHeight="1" x14ac:dyDescent="0.35">
      <c r="A127" s="6" t="s">
        <v>50</v>
      </c>
      <c r="B127" s="2" t="s">
        <v>159</v>
      </c>
      <c r="C127" s="2" t="s">
        <v>20</v>
      </c>
      <c r="D127" s="2" t="s">
        <v>8</v>
      </c>
      <c r="E127" s="9">
        <v>4</v>
      </c>
      <c r="F127" s="9">
        <v>526369.23</v>
      </c>
      <c r="G127" s="9">
        <v>526563.48</v>
      </c>
      <c r="H127" s="2">
        <v>10</v>
      </c>
      <c r="I127" s="41">
        <f t="shared" si="2"/>
        <v>184.25</v>
      </c>
      <c r="J127" s="42">
        <v>14.2</v>
      </c>
      <c r="K127" s="43">
        <f t="shared" si="1"/>
        <v>2616.35</v>
      </c>
      <c r="M127" s="26"/>
      <c r="N127" s="26"/>
      <c r="O127" s="9"/>
      <c r="P127" s="9"/>
      <c r="W127" s="9"/>
      <c r="X127" s="9"/>
      <c r="Y127" s="9"/>
    </row>
    <row r="128" spans="1:28" ht="15.75" customHeight="1" x14ac:dyDescent="0.35">
      <c r="A128" s="44" t="s">
        <v>51</v>
      </c>
      <c r="B128" s="28" t="s">
        <v>152</v>
      </c>
      <c r="C128" s="28" t="s">
        <v>20</v>
      </c>
      <c r="D128" s="28" t="s">
        <v>4</v>
      </c>
      <c r="E128" s="29">
        <v>1</v>
      </c>
      <c r="F128" s="29">
        <v>357623.98</v>
      </c>
      <c r="G128" s="29">
        <v>358068.33</v>
      </c>
      <c r="H128" s="28"/>
      <c r="I128" s="28">
        <f t="shared" si="2"/>
        <v>444.35000000003492</v>
      </c>
      <c r="J128" s="29">
        <v>12.6</v>
      </c>
      <c r="K128" s="30">
        <f t="shared" si="1"/>
        <v>5598.8100000004397</v>
      </c>
      <c r="L128" s="31">
        <f>K128+K129</f>
        <v>16437.455999999969</v>
      </c>
      <c r="M128" s="32">
        <f>K130+K131+K132+K133</f>
        <v>8926.8300000011568</v>
      </c>
      <c r="N128" s="33">
        <f>SUM(L128:M128)</f>
        <v>25364.286000001128</v>
      </c>
      <c r="O128" s="29">
        <v>50</v>
      </c>
      <c r="P128" s="29"/>
      <c r="Q128" s="28"/>
      <c r="R128" s="28"/>
      <c r="S128" s="28"/>
      <c r="T128" s="28"/>
      <c r="U128" s="28"/>
      <c r="V128" s="28"/>
      <c r="W128" s="30">
        <f>N128-O128-P128-Q128-R128-S128-T128-U128-V128</f>
        <v>25314.286000001128</v>
      </c>
      <c r="X128" s="29">
        <v>25315</v>
      </c>
      <c r="Y128" s="30">
        <f>X128-W128</f>
        <v>0.71399999887216836</v>
      </c>
      <c r="Z128" s="28"/>
      <c r="AA128" s="28"/>
      <c r="AB128" s="28"/>
    </row>
    <row r="129" spans="1:28" ht="15.75" customHeight="1" x14ac:dyDescent="0.35">
      <c r="A129" s="6" t="s">
        <v>51</v>
      </c>
      <c r="B129" s="2" t="s">
        <v>152</v>
      </c>
      <c r="C129" s="2" t="s">
        <v>20</v>
      </c>
      <c r="D129" s="2" t="s">
        <v>4</v>
      </c>
      <c r="E129" s="9">
        <v>2</v>
      </c>
      <c r="F129" s="9">
        <v>569421.05000000005</v>
      </c>
      <c r="G129" s="9">
        <v>570281.26</v>
      </c>
      <c r="I129" s="41">
        <f t="shared" si="2"/>
        <v>860.20999999996275</v>
      </c>
      <c r="J129" s="42">
        <v>12.6</v>
      </c>
      <c r="K129" s="43">
        <f t="shared" si="1"/>
        <v>10838.64599999953</v>
      </c>
      <c r="M129" s="26"/>
      <c r="N129" s="26"/>
      <c r="O129" s="9"/>
      <c r="P129" s="9"/>
      <c r="W129" s="9"/>
      <c r="X129" s="9"/>
      <c r="Y129" s="9"/>
    </row>
    <row r="130" spans="1:28" ht="15.75" customHeight="1" x14ac:dyDescent="0.35">
      <c r="A130" s="6" t="s">
        <v>51</v>
      </c>
      <c r="B130" s="2" t="s">
        <v>152</v>
      </c>
      <c r="C130" s="2" t="s">
        <v>22</v>
      </c>
      <c r="D130" s="2" t="s">
        <v>8</v>
      </c>
      <c r="E130" s="9">
        <v>1</v>
      </c>
      <c r="F130" s="9">
        <v>288657.53999999998</v>
      </c>
      <c r="G130" s="9">
        <v>288758.27</v>
      </c>
      <c r="I130" s="41">
        <f t="shared" si="2"/>
        <v>100.73000000003958</v>
      </c>
      <c r="J130" s="42">
        <v>14.2</v>
      </c>
      <c r="K130" s="43">
        <f t="shared" si="1"/>
        <v>1430.3660000005621</v>
      </c>
      <c r="M130" s="26"/>
      <c r="N130" s="26"/>
      <c r="O130" s="9"/>
      <c r="P130" s="9"/>
      <c r="W130" s="9"/>
      <c r="X130" s="9"/>
      <c r="Y130" s="9"/>
    </row>
    <row r="131" spans="1:28" ht="15.75" customHeight="1" x14ac:dyDescent="0.35">
      <c r="A131" s="6" t="s">
        <v>51</v>
      </c>
      <c r="B131" s="2" t="s">
        <v>152</v>
      </c>
      <c r="C131" s="2" t="s">
        <v>22</v>
      </c>
      <c r="D131" s="2" t="s">
        <v>8</v>
      </c>
      <c r="E131" s="9">
        <v>2</v>
      </c>
      <c r="F131" s="9">
        <v>411676.32</v>
      </c>
      <c r="G131" s="9">
        <v>411695.34</v>
      </c>
      <c r="I131" s="41">
        <f t="shared" si="2"/>
        <v>19.020000000018626</v>
      </c>
      <c r="J131" s="42">
        <v>14.2</v>
      </c>
      <c r="K131" s="43">
        <f t="shared" si="1"/>
        <v>270.0840000002645</v>
      </c>
      <c r="M131" s="26"/>
      <c r="N131" s="26"/>
      <c r="O131" s="9"/>
      <c r="P131" s="9"/>
      <c r="W131" s="9"/>
      <c r="X131" s="9"/>
      <c r="Y131" s="9"/>
    </row>
    <row r="132" spans="1:28" ht="15.75" customHeight="1" x14ac:dyDescent="0.35">
      <c r="A132" s="6" t="s">
        <v>51</v>
      </c>
      <c r="B132" s="2" t="s">
        <v>152</v>
      </c>
      <c r="C132" s="2" t="s">
        <v>22</v>
      </c>
      <c r="D132" s="2" t="s">
        <v>8</v>
      </c>
      <c r="E132" s="9">
        <v>3</v>
      </c>
      <c r="F132" s="9">
        <v>376469.76000000001</v>
      </c>
      <c r="G132" s="9">
        <v>376678.62</v>
      </c>
      <c r="I132" s="41">
        <f t="shared" si="2"/>
        <v>208.85999999998603</v>
      </c>
      <c r="J132" s="42">
        <v>14.2</v>
      </c>
      <c r="K132" s="43">
        <f t="shared" si="1"/>
        <v>2965.8119999998016</v>
      </c>
      <c r="M132" s="26"/>
      <c r="N132" s="26"/>
      <c r="O132" s="9"/>
      <c r="P132" s="9"/>
      <c r="W132" s="9"/>
      <c r="X132" s="9"/>
      <c r="Y132" s="9"/>
    </row>
    <row r="133" spans="1:28" ht="15.75" customHeight="1" x14ac:dyDescent="0.35">
      <c r="A133" s="6" t="s">
        <v>51</v>
      </c>
      <c r="B133" s="2" t="s">
        <v>152</v>
      </c>
      <c r="C133" s="2" t="s">
        <v>22</v>
      </c>
      <c r="D133" s="2" t="s">
        <v>8</v>
      </c>
      <c r="E133" s="9">
        <v>4</v>
      </c>
      <c r="F133" s="9">
        <v>526563.48</v>
      </c>
      <c r="G133" s="9">
        <v>526863.52</v>
      </c>
      <c r="I133" s="41">
        <f t="shared" si="2"/>
        <v>300.04000000003725</v>
      </c>
      <c r="J133" s="42">
        <v>14.2</v>
      </c>
      <c r="K133" s="43">
        <f t="shared" si="1"/>
        <v>4260.5680000005286</v>
      </c>
      <c r="M133" s="26"/>
      <c r="N133" s="26"/>
      <c r="O133" s="9"/>
      <c r="P133" s="9"/>
      <c r="W133" s="9"/>
      <c r="X133" s="9"/>
      <c r="Y133" s="9"/>
    </row>
    <row r="134" spans="1:28" ht="15.75" customHeight="1" x14ac:dyDescent="0.35">
      <c r="A134" s="45" t="s">
        <v>52</v>
      </c>
      <c r="B134" s="35" t="s">
        <v>182</v>
      </c>
      <c r="C134" s="35" t="s">
        <v>16</v>
      </c>
      <c r="D134" s="35" t="s">
        <v>4</v>
      </c>
      <c r="E134" s="36">
        <v>1</v>
      </c>
      <c r="F134" s="36">
        <v>358068.33</v>
      </c>
      <c r="G134" s="36">
        <v>358406.48</v>
      </c>
      <c r="H134" s="35"/>
      <c r="I134" s="35">
        <f t="shared" si="2"/>
        <v>338.14999999996508</v>
      </c>
      <c r="J134" s="36">
        <v>12.6</v>
      </c>
      <c r="K134" s="37">
        <f t="shared" si="1"/>
        <v>4260.6899999995594</v>
      </c>
      <c r="L134" s="38">
        <f>K134+K135</f>
        <v>14662.871999998915</v>
      </c>
      <c r="M134" s="39">
        <f>K136+K137+K138+K139</f>
        <v>14784.613999998943</v>
      </c>
      <c r="N134" s="40">
        <f>SUM(L134:M134)</f>
        <v>29447.485999997858</v>
      </c>
      <c r="O134" s="36">
        <v>50</v>
      </c>
      <c r="P134" s="36"/>
      <c r="Q134" s="35"/>
      <c r="R134" s="35"/>
      <c r="S134" s="35"/>
      <c r="T134" s="35"/>
      <c r="U134" s="35"/>
      <c r="V134" s="35">
        <v>9763</v>
      </c>
      <c r="W134" s="37">
        <f>N134-O134-P134-Q134-R134-S134-T134-U134-V134</f>
        <v>19634.485999997858</v>
      </c>
      <c r="X134" s="36">
        <v>19635</v>
      </c>
      <c r="Y134" s="37">
        <f>X134-W134</f>
        <v>0.51400000214198371</v>
      </c>
      <c r="Z134" s="35"/>
      <c r="AA134" s="35"/>
      <c r="AB134" s="35"/>
    </row>
    <row r="135" spans="1:28" ht="15.75" customHeight="1" x14ac:dyDescent="0.35">
      <c r="A135" s="6" t="s">
        <v>52</v>
      </c>
      <c r="B135" s="2" t="s">
        <v>182</v>
      </c>
      <c r="C135" s="2" t="s">
        <v>16</v>
      </c>
      <c r="D135" s="2" t="s">
        <v>4</v>
      </c>
      <c r="E135" s="9">
        <v>2</v>
      </c>
      <c r="F135" s="9">
        <v>570281.26</v>
      </c>
      <c r="G135" s="9">
        <v>571106.82999999996</v>
      </c>
      <c r="I135" s="41">
        <f t="shared" si="2"/>
        <v>825.56999999994878</v>
      </c>
      <c r="J135" s="42">
        <v>12.6</v>
      </c>
      <c r="K135" s="43">
        <f t="shared" si="1"/>
        <v>10402.181999999355</v>
      </c>
      <c r="M135" s="26"/>
      <c r="N135" s="26"/>
      <c r="O135" s="9"/>
      <c r="P135" s="9"/>
      <c r="W135" s="9"/>
      <c r="X135" s="9"/>
      <c r="Y135" s="9"/>
    </row>
    <row r="136" spans="1:28" ht="15.75" customHeight="1" x14ac:dyDescent="0.35">
      <c r="A136" s="6" t="s">
        <v>52</v>
      </c>
      <c r="B136" s="2" t="s">
        <v>182</v>
      </c>
      <c r="C136" s="2" t="s">
        <v>16</v>
      </c>
      <c r="D136" s="2" t="s">
        <v>8</v>
      </c>
      <c r="E136" s="9">
        <v>1</v>
      </c>
      <c r="F136" s="9">
        <v>288758.27</v>
      </c>
      <c r="G136" s="9">
        <v>288825.18</v>
      </c>
      <c r="I136" s="41">
        <f t="shared" si="2"/>
        <v>66.909999999974389</v>
      </c>
      <c r="J136" s="42">
        <v>14.2</v>
      </c>
      <c r="K136" s="43">
        <f t="shared" si="1"/>
        <v>950.12199999963627</v>
      </c>
      <c r="M136" s="26"/>
      <c r="N136" s="26"/>
      <c r="O136" s="9"/>
      <c r="P136" s="9"/>
      <c r="W136" s="9"/>
      <c r="X136" s="9"/>
      <c r="Y136" s="9"/>
    </row>
    <row r="137" spans="1:28" ht="15.75" customHeight="1" x14ac:dyDescent="0.35">
      <c r="A137" s="6" t="s">
        <v>52</v>
      </c>
      <c r="B137" s="2" t="s">
        <v>182</v>
      </c>
      <c r="C137" s="2" t="s">
        <v>25</v>
      </c>
      <c r="D137" s="2" t="s">
        <v>8</v>
      </c>
      <c r="E137" s="9">
        <v>2</v>
      </c>
      <c r="F137" s="9">
        <v>411695.34</v>
      </c>
      <c r="G137" s="9">
        <v>412192.76</v>
      </c>
      <c r="I137" s="41">
        <f t="shared" si="2"/>
        <v>497.4199999999837</v>
      </c>
      <c r="J137" s="42">
        <v>14.2</v>
      </c>
      <c r="K137" s="43">
        <f t="shared" si="1"/>
        <v>7063.3639999997686</v>
      </c>
      <c r="M137" s="26"/>
      <c r="N137" s="26"/>
      <c r="O137" s="9"/>
      <c r="P137" s="9"/>
      <c r="W137" s="9"/>
      <c r="X137" s="9"/>
      <c r="Y137" s="9"/>
    </row>
    <row r="138" spans="1:28" ht="15.75" customHeight="1" x14ac:dyDescent="0.35">
      <c r="A138" s="6" t="s">
        <v>52</v>
      </c>
      <c r="B138" s="2" t="s">
        <v>182</v>
      </c>
      <c r="C138" s="2" t="s">
        <v>25</v>
      </c>
      <c r="D138" s="2" t="s">
        <v>8</v>
      </c>
      <c r="E138" s="9">
        <v>3</v>
      </c>
      <c r="F138" s="9">
        <v>376678.62</v>
      </c>
      <c r="G138" s="9">
        <v>376926.6</v>
      </c>
      <c r="I138" s="41">
        <f t="shared" si="2"/>
        <v>247.97999999998137</v>
      </c>
      <c r="J138" s="42">
        <v>14.2</v>
      </c>
      <c r="K138" s="43">
        <f t="shared" si="1"/>
        <v>3521.3159999997351</v>
      </c>
      <c r="M138" s="26"/>
      <c r="N138" s="26"/>
      <c r="O138" s="9"/>
      <c r="P138" s="9"/>
      <c r="W138" s="9"/>
      <c r="X138" s="9"/>
      <c r="Y138" s="9"/>
    </row>
    <row r="139" spans="1:28" ht="15.75" customHeight="1" x14ac:dyDescent="0.35">
      <c r="A139" s="6" t="s">
        <v>52</v>
      </c>
      <c r="B139" s="2" t="s">
        <v>182</v>
      </c>
      <c r="C139" s="2" t="s">
        <v>25</v>
      </c>
      <c r="D139" s="2" t="s">
        <v>8</v>
      </c>
      <c r="E139" s="9">
        <v>4</v>
      </c>
      <c r="F139" s="9">
        <v>526863.52</v>
      </c>
      <c r="G139" s="9">
        <v>527092.38</v>
      </c>
      <c r="I139" s="41">
        <f t="shared" si="2"/>
        <v>228.85999999998603</v>
      </c>
      <c r="J139" s="42">
        <v>14.2</v>
      </c>
      <c r="K139" s="43">
        <f t="shared" si="1"/>
        <v>3249.8119999998016</v>
      </c>
      <c r="M139" s="26"/>
      <c r="N139" s="26"/>
      <c r="O139" s="9"/>
      <c r="P139" s="9"/>
      <c r="W139" s="9"/>
      <c r="X139" s="9"/>
      <c r="Y139" s="9"/>
    </row>
    <row r="140" spans="1:28" ht="15.75" customHeight="1" x14ac:dyDescent="0.35">
      <c r="A140" s="45" t="s">
        <v>53</v>
      </c>
      <c r="B140" s="35" t="s">
        <v>155</v>
      </c>
      <c r="C140" s="35" t="s">
        <v>25</v>
      </c>
      <c r="D140" s="35" t="s">
        <v>4</v>
      </c>
      <c r="E140" s="36">
        <v>1</v>
      </c>
      <c r="F140" s="36">
        <v>358406.48</v>
      </c>
      <c r="G140" s="36">
        <v>358982.74</v>
      </c>
      <c r="H140" s="35"/>
      <c r="I140" s="35">
        <f t="shared" si="2"/>
        <v>576.26000000000931</v>
      </c>
      <c r="J140" s="36">
        <v>12.6</v>
      </c>
      <c r="K140" s="37">
        <f t="shared" si="1"/>
        <v>7260.8760000001175</v>
      </c>
      <c r="L140" s="38">
        <f>K140+K141</f>
        <v>15699.726000000119</v>
      </c>
      <c r="M140" s="39">
        <f>K142+K143+K144+K145</f>
        <v>34327.079999999507</v>
      </c>
      <c r="N140" s="40">
        <f>SUM(L140:M140)</f>
        <v>50026.805999999626</v>
      </c>
      <c r="O140" s="36">
        <v>50</v>
      </c>
      <c r="P140" s="36"/>
      <c r="Q140" s="35"/>
      <c r="R140" s="35"/>
      <c r="S140" s="35"/>
      <c r="T140" s="35"/>
      <c r="U140" s="35"/>
      <c r="V140" s="35"/>
      <c r="W140" s="37">
        <f>N140-O140-P140-Q140-R140-S140-T140-U140-V140</f>
        <v>49976.805999999626</v>
      </c>
      <c r="X140" s="36">
        <v>49977</v>
      </c>
      <c r="Y140" s="37">
        <f>X140-W140</f>
        <v>0.19400000037421705</v>
      </c>
      <c r="Z140" s="35"/>
      <c r="AA140" s="35"/>
      <c r="AB140" s="35"/>
    </row>
    <row r="141" spans="1:28" ht="15.75" customHeight="1" x14ac:dyDescent="0.35">
      <c r="A141" s="6" t="s">
        <v>53</v>
      </c>
      <c r="B141" s="2" t="s">
        <v>155</v>
      </c>
      <c r="C141" s="2" t="s">
        <v>25</v>
      </c>
      <c r="D141" s="2" t="s">
        <v>8</v>
      </c>
      <c r="E141" s="9">
        <v>2</v>
      </c>
      <c r="F141" s="9">
        <v>571106.82999999996</v>
      </c>
      <c r="G141" s="9">
        <v>571776.57999999996</v>
      </c>
      <c r="I141" s="41">
        <f t="shared" si="2"/>
        <v>669.75</v>
      </c>
      <c r="J141" s="42">
        <v>12.6</v>
      </c>
      <c r="K141" s="43">
        <f t="shared" si="1"/>
        <v>8438.85</v>
      </c>
      <c r="M141" s="26"/>
      <c r="N141" s="26"/>
      <c r="O141" s="9"/>
      <c r="P141" s="9"/>
      <c r="W141" s="9"/>
      <c r="X141" s="9"/>
      <c r="Y141" s="9"/>
    </row>
    <row r="142" spans="1:28" ht="15.75" customHeight="1" x14ac:dyDescent="0.35">
      <c r="A142" s="6" t="s">
        <v>53</v>
      </c>
      <c r="B142" s="2" t="s">
        <v>155</v>
      </c>
      <c r="C142" s="2" t="s">
        <v>16</v>
      </c>
      <c r="D142" s="2" t="s">
        <v>8</v>
      </c>
      <c r="E142" s="9">
        <v>1</v>
      </c>
      <c r="F142" s="9">
        <v>288825.18</v>
      </c>
      <c r="G142" s="9">
        <v>289863.92</v>
      </c>
      <c r="I142" s="41">
        <f t="shared" si="2"/>
        <v>1038.7399999999907</v>
      </c>
      <c r="J142" s="42">
        <v>14.2</v>
      </c>
      <c r="K142" s="43">
        <f t="shared" si="1"/>
        <v>14750.107999999867</v>
      </c>
      <c r="M142" s="26"/>
      <c r="N142" s="26"/>
      <c r="O142" s="9"/>
      <c r="P142" s="9"/>
      <c r="W142" s="9"/>
      <c r="X142" s="9"/>
      <c r="Y142" s="9"/>
    </row>
    <row r="143" spans="1:28" ht="15.75" customHeight="1" x14ac:dyDescent="0.35">
      <c r="A143" s="6" t="s">
        <v>53</v>
      </c>
      <c r="B143" s="2" t="s">
        <v>155</v>
      </c>
      <c r="C143" s="2" t="s">
        <v>16</v>
      </c>
      <c r="D143" s="2" t="s">
        <v>8</v>
      </c>
      <c r="E143" s="9">
        <v>2</v>
      </c>
      <c r="F143" s="9">
        <v>412192.76</v>
      </c>
      <c r="G143" s="9">
        <v>412192.77</v>
      </c>
      <c r="I143" s="41">
        <f t="shared" si="2"/>
        <v>1.0000000009313226E-2</v>
      </c>
      <c r="J143" s="42">
        <v>14.2</v>
      </c>
      <c r="K143" s="43">
        <f t="shared" si="1"/>
        <v>0.14200000013224781</v>
      </c>
      <c r="M143" s="26"/>
      <c r="N143" s="26"/>
      <c r="O143" s="9"/>
      <c r="P143" s="9"/>
      <c r="W143" s="9"/>
      <c r="X143" s="9"/>
      <c r="Y143" s="9"/>
    </row>
    <row r="144" spans="1:28" ht="15.75" customHeight="1" x14ac:dyDescent="0.35">
      <c r="A144" s="6" t="s">
        <v>53</v>
      </c>
      <c r="B144" s="2" t="s">
        <v>155</v>
      </c>
      <c r="C144" s="2" t="s">
        <v>16</v>
      </c>
      <c r="D144" s="2" t="s">
        <v>8</v>
      </c>
      <c r="E144" s="9">
        <v>3</v>
      </c>
      <c r="F144" s="9">
        <v>376926.6</v>
      </c>
      <c r="G144" s="9">
        <v>378077.43</v>
      </c>
      <c r="I144" s="41">
        <f t="shared" si="2"/>
        <v>1150.8300000000163</v>
      </c>
      <c r="J144" s="42">
        <v>14.2</v>
      </c>
      <c r="K144" s="43">
        <f t="shared" si="1"/>
        <v>16341.786000000231</v>
      </c>
      <c r="M144" s="26"/>
      <c r="N144" s="26"/>
      <c r="O144" s="9"/>
      <c r="P144" s="9"/>
      <c r="W144" s="9"/>
      <c r="X144" s="9"/>
      <c r="Y144" s="9"/>
    </row>
    <row r="145" spans="1:28" ht="15.75" customHeight="1" x14ac:dyDescent="0.35">
      <c r="A145" s="6" t="s">
        <v>53</v>
      </c>
      <c r="B145" s="2" t="s">
        <v>155</v>
      </c>
      <c r="C145" s="2" t="s">
        <v>16</v>
      </c>
      <c r="D145" s="2" t="s">
        <v>8</v>
      </c>
      <c r="E145" s="9">
        <v>4</v>
      </c>
      <c r="F145" s="9">
        <v>527092.38</v>
      </c>
      <c r="G145" s="9">
        <v>527320.19999999995</v>
      </c>
      <c r="I145" s="41">
        <f t="shared" si="2"/>
        <v>227.81999999994878</v>
      </c>
      <c r="J145" s="42">
        <v>14.2</v>
      </c>
      <c r="K145" s="43">
        <f t="shared" si="1"/>
        <v>3235.0439999992723</v>
      </c>
      <c r="M145" s="26"/>
      <c r="N145" s="26"/>
      <c r="O145" s="9"/>
      <c r="P145" s="9"/>
      <c r="W145" s="9"/>
      <c r="X145" s="9"/>
      <c r="Y145" s="9"/>
    </row>
    <row r="146" spans="1:28" ht="15.75" customHeight="1" x14ac:dyDescent="0.35">
      <c r="A146" s="44" t="s">
        <v>54</v>
      </c>
      <c r="B146" s="28" t="s">
        <v>156</v>
      </c>
      <c r="C146" s="28" t="s">
        <v>22</v>
      </c>
      <c r="D146" s="28" t="s">
        <v>4</v>
      </c>
      <c r="E146" s="29">
        <v>1</v>
      </c>
      <c r="F146" s="29">
        <v>358982.74</v>
      </c>
      <c r="G146" s="29">
        <v>359299.93</v>
      </c>
      <c r="H146" s="28"/>
      <c r="I146" s="28">
        <f t="shared" si="2"/>
        <v>317.19000000000233</v>
      </c>
      <c r="J146" s="29">
        <v>12.6</v>
      </c>
      <c r="K146" s="30">
        <f t="shared" si="1"/>
        <v>3996.5940000000292</v>
      </c>
      <c r="L146" s="31">
        <f>K146+K147</f>
        <v>11307.114000000909</v>
      </c>
      <c r="M146" s="32">
        <f>K148+K149+K150+K151</f>
        <v>7501.2920000001313</v>
      </c>
      <c r="N146" s="33">
        <f>SUM(L146:M146)</f>
        <v>18808.40600000104</v>
      </c>
      <c r="O146" s="29"/>
      <c r="P146" s="29"/>
      <c r="Q146" s="28">
        <v>7415</v>
      </c>
      <c r="R146" s="28"/>
      <c r="S146" s="28"/>
      <c r="T146" s="28"/>
      <c r="U146" s="28"/>
      <c r="V146" s="28">
        <v>2556</v>
      </c>
      <c r="W146" s="30">
        <f>N146-O146-P146-Q146-R146-S146-T146-U146-V146</f>
        <v>8837.4060000010395</v>
      </c>
      <c r="X146" s="29">
        <v>8838</v>
      </c>
      <c r="Y146" s="30">
        <f>X146-W146</f>
        <v>0.59399999896049849</v>
      </c>
      <c r="Z146" s="28"/>
      <c r="AA146" s="28"/>
      <c r="AB146" s="28"/>
    </row>
    <row r="147" spans="1:28" ht="15.75" customHeight="1" x14ac:dyDescent="0.35">
      <c r="A147" s="6" t="s">
        <v>54</v>
      </c>
      <c r="B147" s="2" t="s">
        <v>156</v>
      </c>
      <c r="C147" s="2" t="s">
        <v>22</v>
      </c>
      <c r="D147" s="2" t="s">
        <v>4</v>
      </c>
      <c r="E147" s="9">
        <v>2</v>
      </c>
      <c r="F147" s="9">
        <v>571776.57999999996</v>
      </c>
      <c r="G147" s="9">
        <v>572356.78</v>
      </c>
      <c r="I147" s="41">
        <f t="shared" si="2"/>
        <v>580.20000000006985</v>
      </c>
      <c r="J147" s="42">
        <v>12.6</v>
      </c>
      <c r="K147" s="43">
        <f t="shared" si="1"/>
        <v>7310.5200000008799</v>
      </c>
      <c r="M147" s="26"/>
      <c r="N147" s="26"/>
      <c r="O147" s="9"/>
      <c r="P147" s="9"/>
      <c r="W147" s="9"/>
      <c r="X147" s="9"/>
      <c r="Y147" s="9"/>
    </row>
    <row r="148" spans="1:28" ht="15.75" customHeight="1" x14ac:dyDescent="0.35">
      <c r="A148" s="6" t="s">
        <v>54</v>
      </c>
      <c r="B148" s="2" t="s">
        <v>156</v>
      </c>
      <c r="C148" s="2" t="s">
        <v>20</v>
      </c>
      <c r="D148" s="2" t="s">
        <v>8</v>
      </c>
      <c r="E148" s="9">
        <v>1</v>
      </c>
      <c r="F148" s="9">
        <v>289863.92</v>
      </c>
      <c r="G148" s="9">
        <v>289863.92</v>
      </c>
      <c r="I148" s="41">
        <f t="shared" si="2"/>
        <v>0</v>
      </c>
      <c r="J148" s="42">
        <v>14.2</v>
      </c>
      <c r="K148" s="43">
        <f t="shared" si="1"/>
        <v>0</v>
      </c>
      <c r="M148" s="26"/>
      <c r="N148" s="26"/>
      <c r="O148" s="9"/>
      <c r="P148" s="9"/>
      <c r="W148" s="9"/>
      <c r="X148" s="9"/>
      <c r="Y148" s="9"/>
    </row>
    <row r="149" spans="1:28" ht="15.75" customHeight="1" x14ac:dyDescent="0.35">
      <c r="A149" s="6" t="s">
        <v>54</v>
      </c>
      <c r="B149" s="2" t="s">
        <v>156</v>
      </c>
      <c r="C149" s="2" t="s">
        <v>20</v>
      </c>
      <c r="D149" s="2" t="s">
        <v>8</v>
      </c>
      <c r="E149" s="9">
        <v>2</v>
      </c>
      <c r="F149" s="9">
        <v>412192.77</v>
      </c>
      <c r="G149" s="9">
        <v>412271.66</v>
      </c>
      <c r="I149" s="41">
        <f t="shared" si="2"/>
        <v>78.889999999955762</v>
      </c>
      <c r="J149" s="42">
        <v>14.2</v>
      </c>
      <c r="K149" s="43">
        <f t="shared" si="1"/>
        <v>1120.2379999993718</v>
      </c>
      <c r="M149" s="26"/>
      <c r="N149" s="26"/>
      <c r="O149" s="9"/>
      <c r="P149" s="9"/>
      <c r="W149" s="9"/>
      <c r="X149" s="9"/>
      <c r="Y149" s="9"/>
    </row>
    <row r="150" spans="1:28" ht="15.75" customHeight="1" x14ac:dyDescent="0.35">
      <c r="A150" s="6" t="s">
        <v>54</v>
      </c>
      <c r="B150" s="2" t="s">
        <v>156</v>
      </c>
      <c r="C150" s="2" t="s">
        <v>20</v>
      </c>
      <c r="D150" s="2" t="s">
        <v>8</v>
      </c>
      <c r="E150" s="9">
        <v>3</v>
      </c>
      <c r="F150" s="9">
        <v>378077.43</v>
      </c>
      <c r="G150" s="9">
        <v>378315.1</v>
      </c>
      <c r="I150" s="41">
        <f t="shared" si="2"/>
        <v>237.6699999999837</v>
      </c>
      <c r="J150" s="42">
        <v>14.2</v>
      </c>
      <c r="K150" s="43">
        <f t="shared" si="1"/>
        <v>3374.9139999997683</v>
      </c>
      <c r="M150" s="26"/>
      <c r="N150" s="26"/>
      <c r="O150" s="9"/>
      <c r="P150" s="9"/>
      <c r="W150" s="9"/>
      <c r="X150" s="9"/>
      <c r="Y150" s="9"/>
    </row>
    <row r="151" spans="1:28" ht="15.75" customHeight="1" x14ac:dyDescent="0.35">
      <c r="A151" s="6" t="s">
        <v>54</v>
      </c>
      <c r="B151" s="2" t="s">
        <v>156</v>
      </c>
      <c r="C151" s="2" t="s">
        <v>20</v>
      </c>
      <c r="D151" s="2" t="s">
        <v>8</v>
      </c>
      <c r="E151" s="9">
        <v>4</v>
      </c>
      <c r="F151" s="9">
        <v>527320.19999999995</v>
      </c>
      <c r="G151" s="9">
        <v>527531.9</v>
      </c>
      <c r="I151" s="41">
        <f t="shared" si="2"/>
        <v>211.70000000006985</v>
      </c>
      <c r="J151" s="42">
        <v>14.2</v>
      </c>
      <c r="K151" s="43">
        <f t="shared" si="1"/>
        <v>3006.1400000009917</v>
      </c>
      <c r="M151" s="26"/>
      <c r="N151" s="26"/>
      <c r="O151" s="9"/>
      <c r="P151" s="9"/>
      <c r="W151" s="9"/>
      <c r="X151" s="9"/>
      <c r="Y151" s="9"/>
    </row>
    <row r="152" spans="1:28" ht="15.75" customHeight="1" x14ac:dyDescent="0.35">
      <c r="A152" s="44" t="s">
        <v>55</v>
      </c>
      <c r="B152" s="28" t="s">
        <v>183</v>
      </c>
      <c r="C152" s="28" t="s">
        <v>20</v>
      </c>
      <c r="D152" s="28" t="s">
        <v>4</v>
      </c>
      <c r="E152" s="29">
        <v>1</v>
      </c>
      <c r="F152" s="29">
        <v>359299.93</v>
      </c>
      <c r="G152" s="29">
        <v>359785.25</v>
      </c>
      <c r="H152" s="28"/>
      <c r="I152" s="28">
        <f t="shared" si="2"/>
        <v>485.32000000000698</v>
      </c>
      <c r="J152" s="29">
        <v>12.6</v>
      </c>
      <c r="K152" s="30">
        <f t="shared" si="1"/>
        <v>6115.0320000000875</v>
      </c>
      <c r="L152" s="31">
        <f>K152+K153</f>
        <v>14052.275999999383</v>
      </c>
      <c r="M152" s="32">
        <f>K154+K155+K156+K157</f>
        <v>34625.280000001978</v>
      </c>
      <c r="N152" s="33">
        <f>SUM(L152:M152)</f>
        <v>48677.556000001365</v>
      </c>
      <c r="O152" s="29"/>
      <c r="P152" s="29"/>
      <c r="Q152" s="28"/>
      <c r="R152" s="28"/>
      <c r="S152" s="28"/>
      <c r="T152" s="28"/>
      <c r="U152" s="28"/>
      <c r="V152" s="28"/>
      <c r="W152" s="30">
        <f>N152-O152-P152-Q152-R152-S152-T152-U152-V152</f>
        <v>48677.556000001365</v>
      </c>
      <c r="X152" s="29">
        <v>48678</v>
      </c>
      <c r="Y152" s="30">
        <f>X152-W152</f>
        <v>0.44399999863526318</v>
      </c>
      <c r="Z152" s="28"/>
      <c r="AA152" s="28"/>
      <c r="AB152" s="28"/>
    </row>
    <row r="153" spans="1:28" ht="15.75" customHeight="1" x14ac:dyDescent="0.35">
      <c r="A153" s="6" t="s">
        <v>55</v>
      </c>
      <c r="B153" s="2" t="s">
        <v>183</v>
      </c>
      <c r="C153" s="2" t="s">
        <v>20</v>
      </c>
      <c r="D153" s="2" t="s">
        <v>4</v>
      </c>
      <c r="E153" s="9">
        <v>2</v>
      </c>
      <c r="F153" s="9">
        <v>572356.78</v>
      </c>
      <c r="G153" s="9">
        <v>572986.72</v>
      </c>
      <c r="I153" s="41">
        <f t="shared" si="2"/>
        <v>629.93999999994412</v>
      </c>
      <c r="J153" s="42">
        <v>12.6</v>
      </c>
      <c r="K153" s="43">
        <f t="shared" si="1"/>
        <v>7937.2439999992957</v>
      </c>
      <c r="M153" s="26"/>
      <c r="N153" s="26"/>
      <c r="O153" s="9"/>
      <c r="P153" s="9"/>
      <c r="W153" s="9"/>
      <c r="X153" s="9"/>
      <c r="Y153" s="9"/>
    </row>
    <row r="154" spans="1:28" ht="15.75" customHeight="1" x14ac:dyDescent="0.35">
      <c r="A154" s="6" t="s">
        <v>55</v>
      </c>
      <c r="B154" s="2" t="s">
        <v>183</v>
      </c>
      <c r="C154" s="2" t="s">
        <v>22</v>
      </c>
      <c r="D154" s="2" t="s">
        <v>8</v>
      </c>
      <c r="E154" s="9">
        <v>1</v>
      </c>
      <c r="F154" s="9">
        <v>289863.92</v>
      </c>
      <c r="G154" s="9">
        <v>290479.96000000002</v>
      </c>
      <c r="I154" s="41">
        <f t="shared" si="2"/>
        <v>616.04000000003725</v>
      </c>
      <c r="J154" s="42">
        <v>14.2</v>
      </c>
      <c r="K154" s="43">
        <f t="shared" si="1"/>
        <v>8747.7680000005294</v>
      </c>
      <c r="M154" s="26"/>
      <c r="N154" s="26"/>
      <c r="O154" s="9"/>
      <c r="P154" s="9"/>
      <c r="W154" s="9"/>
      <c r="X154" s="9"/>
      <c r="Y154" s="9"/>
    </row>
    <row r="155" spans="1:28" ht="15.75" customHeight="1" x14ac:dyDescent="0.35">
      <c r="A155" s="6" t="s">
        <v>55</v>
      </c>
      <c r="B155" s="2" t="s">
        <v>183</v>
      </c>
      <c r="C155" s="2" t="s">
        <v>22</v>
      </c>
      <c r="D155" s="2" t="s">
        <v>8</v>
      </c>
      <c r="E155" s="9">
        <v>2</v>
      </c>
      <c r="F155" s="9">
        <v>412271.66</v>
      </c>
      <c r="G155" s="9">
        <v>412884.34</v>
      </c>
      <c r="I155" s="41">
        <f t="shared" si="2"/>
        <v>612.68000000005122</v>
      </c>
      <c r="J155" s="42">
        <v>14.2</v>
      </c>
      <c r="K155" s="43">
        <f t="shared" si="1"/>
        <v>8700.0560000007263</v>
      </c>
      <c r="M155" s="26"/>
      <c r="N155" s="26"/>
      <c r="O155" s="9"/>
      <c r="P155" s="9"/>
      <c r="W155" s="9"/>
      <c r="X155" s="9"/>
      <c r="Y155" s="9"/>
    </row>
    <row r="156" spans="1:28" ht="15.75" customHeight="1" x14ac:dyDescent="0.35">
      <c r="A156" s="6" t="s">
        <v>55</v>
      </c>
      <c r="B156" s="2" t="s">
        <v>183</v>
      </c>
      <c r="C156" s="2" t="s">
        <v>22</v>
      </c>
      <c r="D156" s="2" t="s">
        <v>8</v>
      </c>
      <c r="E156" s="9">
        <v>3</v>
      </c>
      <c r="F156" s="9">
        <v>378315.1</v>
      </c>
      <c r="G156" s="9">
        <v>378959.64</v>
      </c>
      <c r="I156" s="41">
        <f t="shared" si="2"/>
        <v>644.54000000003725</v>
      </c>
      <c r="J156" s="42">
        <v>14.2</v>
      </c>
      <c r="K156" s="43">
        <f t="shared" si="1"/>
        <v>9152.4680000005283</v>
      </c>
      <c r="M156" s="26"/>
      <c r="N156" s="26"/>
      <c r="O156" s="9"/>
      <c r="P156" s="9"/>
      <c r="W156" s="9"/>
      <c r="X156" s="9"/>
      <c r="Y156" s="9"/>
    </row>
    <row r="157" spans="1:28" ht="15.75" customHeight="1" x14ac:dyDescent="0.35">
      <c r="A157" s="6" t="s">
        <v>55</v>
      </c>
      <c r="B157" s="2" t="s">
        <v>183</v>
      </c>
      <c r="C157" s="2" t="s">
        <v>22</v>
      </c>
      <c r="D157" s="2" t="s">
        <v>8</v>
      </c>
      <c r="E157" s="9">
        <v>4</v>
      </c>
      <c r="F157" s="9">
        <v>527531.9</v>
      </c>
      <c r="G157" s="9">
        <v>528097.04</v>
      </c>
      <c r="I157" s="41">
        <f t="shared" si="2"/>
        <v>565.14000000001397</v>
      </c>
      <c r="J157" s="42">
        <v>14.2</v>
      </c>
      <c r="K157" s="43">
        <f t="shared" si="1"/>
        <v>8024.9880000001976</v>
      </c>
      <c r="M157" s="26"/>
      <c r="N157" s="26"/>
      <c r="O157" s="9"/>
      <c r="P157" s="9"/>
      <c r="W157" s="9"/>
      <c r="X157" s="9"/>
      <c r="Y157" s="9"/>
    </row>
    <row r="158" spans="1:28" ht="15.75" customHeight="1" x14ac:dyDescent="0.35">
      <c r="A158" s="45" t="s">
        <v>56</v>
      </c>
      <c r="B158" s="35" t="s">
        <v>158</v>
      </c>
      <c r="C158" s="35" t="s">
        <v>16</v>
      </c>
      <c r="D158" s="35" t="s">
        <v>4</v>
      </c>
      <c r="E158" s="36">
        <v>1</v>
      </c>
      <c r="F158" s="36">
        <v>359785.25</v>
      </c>
      <c r="G158" s="36">
        <v>360317.66</v>
      </c>
      <c r="H158" s="35"/>
      <c r="I158" s="35">
        <f t="shared" si="2"/>
        <v>532.40999999997439</v>
      </c>
      <c r="J158" s="36">
        <v>12.6</v>
      </c>
      <c r="K158" s="37">
        <f t="shared" si="1"/>
        <v>6708.3659999996771</v>
      </c>
      <c r="L158" s="38">
        <f>K158+K159</f>
        <v>17654.994000000028</v>
      </c>
      <c r="M158" s="39">
        <f>K160+K161+K162+K163</f>
        <v>19393.50799999739</v>
      </c>
      <c r="N158" s="40">
        <f>SUM(L158:M158)</f>
        <v>37048.501999997417</v>
      </c>
      <c r="O158" s="36">
        <v>50</v>
      </c>
      <c r="P158" s="36"/>
      <c r="Q158" s="35"/>
      <c r="R158" s="35"/>
      <c r="S158" s="35"/>
      <c r="T158" s="35"/>
      <c r="U158" s="35"/>
      <c r="V158" s="35"/>
      <c r="W158" s="37">
        <f>N158-O158-P158-Q158-R158-S158-T158-U158-V158</f>
        <v>36998.501999997417</v>
      </c>
      <c r="X158" s="36">
        <v>36999</v>
      </c>
      <c r="Y158" s="37">
        <f>X158-W158</f>
        <v>0.4980000025825575</v>
      </c>
      <c r="Z158" s="35"/>
      <c r="AA158" s="35"/>
      <c r="AB158" s="35"/>
    </row>
    <row r="159" spans="1:28" ht="15.75" customHeight="1" x14ac:dyDescent="0.35">
      <c r="A159" s="6" t="s">
        <v>56</v>
      </c>
      <c r="B159" s="2" t="s">
        <v>158</v>
      </c>
      <c r="C159" s="2" t="s">
        <v>16</v>
      </c>
      <c r="D159" s="2" t="s">
        <v>4</v>
      </c>
      <c r="E159" s="9">
        <v>2</v>
      </c>
      <c r="F159" s="9">
        <v>572986.72</v>
      </c>
      <c r="G159" s="9">
        <v>573855.5</v>
      </c>
      <c r="I159" s="41">
        <f t="shared" si="2"/>
        <v>868.78000000002794</v>
      </c>
      <c r="J159" s="42">
        <v>12.6</v>
      </c>
      <c r="K159" s="43">
        <f t="shared" si="1"/>
        <v>10946.628000000352</v>
      </c>
      <c r="M159" s="26"/>
      <c r="N159" s="26"/>
      <c r="O159" s="9"/>
      <c r="P159" s="9"/>
      <c r="W159" s="9"/>
      <c r="X159" s="9"/>
      <c r="Y159" s="9"/>
    </row>
    <row r="160" spans="1:28" ht="15.75" customHeight="1" x14ac:dyDescent="0.35">
      <c r="A160" s="6" t="s">
        <v>56</v>
      </c>
      <c r="B160" s="2" t="s">
        <v>158</v>
      </c>
      <c r="C160" s="2" t="s">
        <v>16</v>
      </c>
      <c r="D160" s="2" t="s">
        <v>8</v>
      </c>
      <c r="E160" s="9">
        <v>1</v>
      </c>
      <c r="F160" s="9">
        <v>290479.96000000002</v>
      </c>
      <c r="G160" s="9">
        <v>290494.68</v>
      </c>
      <c r="I160" s="41">
        <f t="shared" si="2"/>
        <v>14.71999999997206</v>
      </c>
      <c r="J160" s="42">
        <v>14.2</v>
      </c>
      <c r="K160" s="43">
        <f t="shared" si="1"/>
        <v>209.02399999960323</v>
      </c>
      <c r="M160" s="26"/>
      <c r="N160" s="26"/>
      <c r="O160" s="9"/>
      <c r="P160" s="9"/>
      <c r="W160" s="9"/>
      <c r="X160" s="9"/>
      <c r="Y160" s="9"/>
    </row>
    <row r="161" spans="1:28" ht="15.75" customHeight="1" x14ac:dyDescent="0.35">
      <c r="A161" s="6" t="s">
        <v>56</v>
      </c>
      <c r="B161" s="2" t="s">
        <v>158</v>
      </c>
      <c r="C161" s="2" t="s">
        <v>25</v>
      </c>
      <c r="D161" s="2" t="s">
        <v>8</v>
      </c>
      <c r="E161" s="9">
        <v>2</v>
      </c>
      <c r="F161" s="9">
        <v>412884.34</v>
      </c>
      <c r="G161" s="9">
        <v>413528.22</v>
      </c>
      <c r="I161" s="41">
        <f t="shared" si="2"/>
        <v>643.87999999994645</v>
      </c>
      <c r="J161" s="42">
        <v>14.2</v>
      </c>
      <c r="K161" s="43">
        <f t="shared" si="1"/>
        <v>9143.0959999992392</v>
      </c>
      <c r="M161" s="26"/>
      <c r="N161" s="26"/>
      <c r="O161" s="9"/>
      <c r="P161" s="9"/>
      <c r="W161" s="9"/>
      <c r="X161" s="9"/>
      <c r="Y161" s="9"/>
    </row>
    <row r="162" spans="1:28" ht="15.75" customHeight="1" x14ac:dyDescent="0.35">
      <c r="A162" s="6" t="s">
        <v>56</v>
      </c>
      <c r="B162" s="2" t="s">
        <v>158</v>
      </c>
      <c r="C162" s="2" t="s">
        <v>25</v>
      </c>
      <c r="D162" s="2" t="s">
        <v>8</v>
      </c>
      <c r="E162" s="9">
        <v>3</v>
      </c>
      <c r="F162" s="9">
        <v>378959.64</v>
      </c>
      <c r="G162" s="9">
        <v>379086.13</v>
      </c>
      <c r="I162" s="41">
        <f t="shared" si="2"/>
        <v>126.48999999999069</v>
      </c>
      <c r="J162" s="42">
        <v>14.2</v>
      </c>
      <c r="K162" s="43">
        <f t="shared" si="1"/>
        <v>1796.1579999998676</v>
      </c>
      <c r="M162" s="26"/>
      <c r="N162" s="26"/>
      <c r="O162" s="9"/>
      <c r="P162" s="9"/>
      <c r="W162" s="9"/>
      <c r="X162" s="9"/>
      <c r="Y162" s="9"/>
    </row>
    <row r="163" spans="1:28" ht="15.75" customHeight="1" x14ac:dyDescent="0.35">
      <c r="A163" s="6" t="s">
        <v>56</v>
      </c>
      <c r="B163" s="2" t="s">
        <v>158</v>
      </c>
      <c r="C163" s="2" t="s">
        <v>25</v>
      </c>
      <c r="D163" s="2" t="s">
        <v>8</v>
      </c>
      <c r="E163" s="9">
        <v>4</v>
      </c>
      <c r="F163" s="9">
        <v>528097.04</v>
      </c>
      <c r="G163" s="9">
        <v>528677.68999999994</v>
      </c>
      <c r="I163" s="41">
        <f t="shared" si="2"/>
        <v>580.64999999990687</v>
      </c>
      <c r="J163" s="42">
        <v>14.2</v>
      </c>
      <c r="K163" s="43">
        <f t="shared" si="1"/>
        <v>8245.2299999986772</v>
      </c>
      <c r="M163" s="26"/>
      <c r="N163" s="26"/>
      <c r="O163" s="9"/>
      <c r="P163" s="9"/>
      <c r="W163" s="9"/>
      <c r="X163" s="9"/>
      <c r="Y163" s="9"/>
    </row>
    <row r="164" spans="1:28" ht="15.75" customHeight="1" x14ac:dyDescent="0.35">
      <c r="A164" s="45" t="s">
        <v>57</v>
      </c>
      <c r="B164" s="35" t="s">
        <v>159</v>
      </c>
      <c r="C164" s="35" t="s">
        <v>25</v>
      </c>
      <c r="D164" s="35" t="s">
        <v>4</v>
      </c>
      <c r="E164" s="36">
        <v>1</v>
      </c>
      <c r="F164" s="36">
        <v>360317.66</v>
      </c>
      <c r="G164" s="36">
        <v>360882.72</v>
      </c>
      <c r="H164" s="35">
        <v>10</v>
      </c>
      <c r="I164" s="35">
        <f t="shared" si="2"/>
        <v>555.05999999999767</v>
      </c>
      <c r="J164" s="36">
        <v>12.6</v>
      </c>
      <c r="K164" s="37">
        <f t="shared" si="1"/>
        <v>6993.7559999999703</v>
      </c>
      <c r="L164" s="38">
        <f>K164+K165</f>
        <v>18535.22999999985</v>
      </c>
      <c r="M164" s="39">
        <f>K166+K167+K168+K169</f>
        <v>7485.8140000014218</v>
      </c>
      <c r="N164" s="40">
        <f>SUM(L164:M164)</f>
        <v>26021.044000001271</v>
      </c>
      <c r="O164" s="36">
        <v>50</v>
      </c>
      <c r="P164" s="36"/>
      <c r="Q164" s="35"/>
      <c r="R164" s="35"/>
      <c r="S164" s="35"/>
      <c r="T164" s="35"/>
      <c r="U164" s="35">
        <v>400</v>
      </c>
      <c r="V164" s="35"/>
      <c r="W164" s="37">
        <f>N164-O164-P164-Q164-R164-S164-T164-U164-V164</f>
        <v>25571.044000001271</v>
      </c>
      <c r="X164" s="36">
        <v>25572</v>
      </c>
      <c r="Y164" s="37">
        <f>X164-W164</f>
        <v>0.95599999872865737</v>
      </c>
      <c r="Z164" s="35"/>
      <c r="AA164" s="35"/>
      <c r="AB164" s="35"/>
    </row>
    <row r="165" spans="1:28" ht="15.75" customHeight="1" x14ac:dyDescent="0.35">
      <c r="A165" s="6" t="s">
        <v>57</v>
      </c>
      <c r="B165" s="2" t="s">
        <v>159</v>
      </c>
      <c r="C165" s="2" t="s">
        <v>25</v>
      </c>
      <c r="D165" s="2" t="s">
        <v>8</v>
      </c>
      <c r="E165" s="9">
        <v>2</v>
      </c>
      <c r="F165" s="9">
        <v>573855.5</v>
      </c>
      <c r="G165" s="9">
        <v>574781.49</v>
      </c>
      <c r="H165" s="2">
        <v>10</v>
      </c>
      <c r="I165" s="41">
        <f t="shared" si="2"/>
        <v>915.98999999999069</v>
      </c>
      <c r="J165" s="42">
        <v>12.6</v>
      </c>
      <c r="K165" s="43">
        <f t="shared" si="1"/>
        <v>11541.473999999882</v>
      </c>
      <c r="M165" s="26"/>
      <c r="N165" s="26"/>
      <c r="O165" s="9"/>
      <c r="P165" s="9"/>
      <c r="W165" s="9"/>
      <c r="X165" s="9"/>
      <c r="Y165" s="9"/>
    </row>
    <row r="166" spans="1:28" ht="15.75" customHeight="1" x14ac:dyDescent="0.35">
      <c r="A166" s="6" t="s">
        <v>57</v>
      </c>
      <c r="B166" s="2" t="s">
        <v>159</v>
      </c>
      <c r="C166" s="2" t="s">
        <v>16</v>
      </c>
      <c r="D166" s="2" t="s">
        <v>8</v>
      </c>
      <c r="E166" s="9">
        <v>1</v>
      </c>
      <c r="F166" s="9">
        <v>290494.68</v>
      </c>
      <c r="G166" s="9">
        <v>290604.53999999998</v>
      </c>
      <c r="H166" s="2">
        <v>10</v>
      </c>
      <c r="I166" s="41">
        <f t="shared" si="2"/>
        <v>99.85999999998603</v>
      </c>
      <c r="J166" s="42">
        <v>14.2</v>
      </c>
      <c r="K166" s="43">
        <f t="shared" si="1"/>
        <v>1418.0119999998014</v>
      </c>
      <c r="M166" s="26"/>
      <c r="N166" s="26"/>
      <c r="O166" s="9"/>
      <c r="P166" s="9"/>
      <c r="W166" s="9"/>
      <c r="X166" s="9"/>
      <c r="Y166" s="9"/>
    </row>
    <row r="167" spans="1:28" ht="15.75" customHeight="1" x14ac:dyDescent="0.35">
      <c r="A167" s="6" t="s">
        <v>57</v>
      </c>
      <c r="B167" s="2" t="s">
        <v>159</v>
      </c>
      <c r="C167" s="2" t="s">
        <v>16</v>
      </c>
      <c r="D167" s="2" t="s">
        <v>8</v>
      </c>
      <c r="E167" s="9">
        <v>2</v>
      </c>
      <c r="F167" s="9">
        <v>413528.22</v>
      </c>
      <c r="G167" s="9">
        <v>413761.35</v>
      </c>
      <c r="H167" s="2">
        <v>10</v>
      </c>
      <c r="I167" s="41">
        <f t="shared" si="2"/>
        <v>223.13000000000466</v>
      </c>
      <c r="J167" s="42">
        <v>14.2</v>
      </c>
      <c r="K167" s="43">
        <f t="shared" si="1"/>
        <v>3168.4460000000659</v>
      </c>
      <c r="M167" s="26"/>
      <c r="N167" s="26"/>
      <c r="O167" s="9"/>
      <c r="P167" s="9"/>
      <c r="W167" s="9"/>
      <c r="X167" s="9"/>
      <c r="Y167" s="9"/>
    </row>
    <row r="168" spans="1:28" ht="15.75" customHeight="1" x14ac:dyDescent="0.35">
      <c r="A168" s="6" t="s">
        <v>57</v>
      </c>
      <c r="B168" s="2" t="s">
        <v>159</v>
      </c>
      <c r="C168" s="2" t="s">
        <v>16</v>
      </c>
      <c r="D168" s="2" t="s">
        <v>8</v>
      </c>
      <c r="E168" s="9">
        <v>3</v>
      </c>
      <c r="F168" s="9">
        <v>379086.13</v>
      </c>
      <c r="G168" s="9">
        <v>379179.32</v>
      </c>
      <c r="H168" s="2">
        <v>10</v>
      </c>
      <c r="I168" s="41">
        <f t="shared" si="2"/>
        <v>83.190000000002328</v>
      </c>
      <c r="J168" s="42">
        <v>14.2</v>
      </c>
      <c r="K168" s="43">
        <f t="shared" si="1"/>
        <v>1181.298000000033</v>
      </c>
      <c r="M168" s="26"/>
      <c r="N168" s="26"/>
      <c r="O168" s="9"/>
      <c r="P168" s="9"/>
      <c r="W168" s="9"/>
      <c r="X168" s="9"/>
      <c r="Y168" s="9"/>
    </row>
    <row r="169" spans="1:28" ht="15.75" customHeight="1" x14ac:dyDescent="0.35">
      <c r="A169" s="6" t="s">
        <v>57</v>
      </c>
      <c r="B169" s="2" t="s">
        <v>159</v>
      </c>
      <c r="C169" s="2" t="s">
        <v>16</v>
      </c>
      <c r="D169" s="2" t="s">
        <v>8</v>
      </c>
      <c r="E169" s="9">
        <v>4</v>
      </c>
      <c r="F169" s="9">
        <v>528677.68999999994</v>
      </c>
      <c r="G169" s="9">
        <v>528808.68000000005</v>
      </c>
      <c r="H169" s="2">
        <v>10</v>
      </c>
      <c r="I169" s="41">
        <f t="shared" si="2"/>
        <v>120.9900000001071</v>
      </c>
      <c r="J169" s="42">
        <v>14.2</v>
      </c>
      <c r="K169" s="43">
        <f t="shared" si="1"/>
        <v>1718.0580000015207</v>
      </c>
      <c r="M169" s="26"/>
      <c r="N169" s="26"/>
      <c r="O169" s="9"/>
      <c r="P169" s="9"/>
      <c r="W169" s="9"/>
      <c r="X169" s="9"/>
      <c r="Y169" s="9"/>
    </row>
    <row r="170" spans="1:28" ht="15.75" customHeight="1" x14ac:dyDescent="0.35">
      <c r="A170" s="44" t="s">
        <v>58</v>
      </c>
      <c r="B170" s="28" t="s">
        <v>152</v>
      </c>
      <c r="C170" s="28" t="s">
        <v>22</v>
      </c>
      <c r="D170" s="28" t="s">
        <v>4</v>
      </c>
      <c r="E170" s="29">
        <v>1</v>
      </c>
      <c r="F170" s="29">
        <v>360882.72</v>
      </c>
      <c r="G170" s="29">
        <v>361391.92</v>
      </c>
      <c r="H170" s="28"/>
      <c r="I170" s="28">
        <f t="shared" si="2"/>
        <v>509.20000000001164</v>
      </c>
      <c r="J170" s="29">
        <v>12.6</v>
      </c>
      <c r="K170" s="30">
        <f t="shared" si="1"/>
        <v>6415.9200000001465</v>
      </c>
      <c r="L170" s="31">
        <f>K170+K171</f>
        <v>16295.579999999853</v>
      </c>
      <c r="M170" s="32">
        <f>K172+K173+K174+K175</f>
        <v>6064.1099999998351</v>
      </c>
      <c r="N170" s="33">
        <f>SUM(L170:M170)</f>
        <v>22359.689999999689</v>
      </c>
      <c r="O170" s="29">
        <v>50</v>
      </c>
      <c r="P170" s="29"/>
      <c r="Q170" s="28"/>
      <c r="R170" s="28"/>
      <c r="S170" s="28"/>
      <c r="T170" s="28"/>
      <c r="U170" s="28"/>
      <c r="V170" s="28"/>
      <c r="W170" s="30">
        <f>N170-O170-P170-Q170-R170-S170-T170-U170-V170</f>
        <v>22309.689999999689</v>
      </c>
      <c r="X170" s="29">
        <v>22310</v>
      </c>
      <c r="Y170" s="30">
        <f>X170-W170</f>
        <v>0.31000000031053787</v>
      </c>
      <c r="Z170" s="28"/>
      <c r="AA170" s="28"/>
      <c r="AB170" s="28"/>
    </row>
    <row r="171" spans="1:28" ht="15.75" customHeight="1" x14ac:dyDescent="0.35">
      <c r="A171" s="6" t="s">
        <v>58</v>
      </c>
      <c r="B171" s="2" t="s">
        <v>152</v>
      </c>
      <c r="C171" s="2" t="s">
        <v>22</v>
      </c>
      <c r="D171" s="2" t="s">
        <v>4</v>
      </c>
      <c r="E171" s="9">
        <v>2</v>
      </c>
      <c r="F171" s="9">
        <v>574781.49</v>
      </c>
      <c r="G171" s="9">
        <v>575565.59</v>
      </c>
      <c r="I171" s="41">
        <f t="shared" si="2"/>
        <v>784.09999999997672</v>
      </c>
      <c r="J171" s="42">
        <v>12.6</v>
      </c>
      <c r="K171" s="43">
        <f t="shared" si="1"/>
        <v>9879.659999999707</v>
      </c>
      <c r="M171" s="26"/>
      <c r="N171" s="26"/>
      <c r="O171" s="9"/>
      <c r="P171" s="9"/>
      <c r="W171" s="9"/>
      <c r="X171" s="9"/>
      <c r="Y171" s="9"/>
    </row>
    <row r="172" spans="1:28" ht="15.75" customHeight="1" x14ac:dyDescent="0.35">
      <c r="A172" s="6" t="s">
        <v>58</v>
      </c>
      <c r="B172" s="2" t="s">
        <v>152</v>
      </c>
      <c r="C172" s="2" t="s">
        <v>20</v>
      </c>
      <c r="D172" s="2" t="s">
        <v>8</v>
      </c>
      <c r="E172" s="9">
        <v>1</v>
      </c>
      <c r="F172" s="9">
        <v>290604.53999999998</v>
      </c>
      <c r="G172" s="9">
        <v>290730.62</v>
      </c>
      <c r="I172" s="41">
        <f t="shared" si="2"/>
        <v>126.0800000000163</v>
      </c>
      <c r="J172" s="42">
        <v>14.2</v>
      </c>
      <c r="K172" s="43">
        <f t="shared" si="1"/>
        <v>1790.3360000002313</v>
      </c>
      <c r="M172" s="26"/>
      <c r="N172" s="26"/>
      <c r="O172" s="9"/>
      <c r="P172" s="9"/>
      <c r="W172" s="9"/>
      <c r="X172" s="9"/>
      <c r="Y172" s="9"/>
    </row>
    <row r="173" spans="1:28" ht="15.75" customHeight="1" x14ac:dyDescent="0.35">
      <c r="A173" s="6" t="s">
        <v>58</v>
      </c>
      <c r="B173" s="2" t="s">
        <v>152</v>
      </c>
      <c r="C173" s="2" t="s">
        <v>20</v>
      </c>
      <c r="D173" s="2" t="s">
        <v>8</v>
      </c>
      <c r="E173" s="9">
        <v>2</v>
      </c>
      <c r="F173" s="9">
        <v>413761.35</v>
      </c>
      <c r="G173" s="9">
        <v>413893.75</v>
      </c>
      <c r="I173" s="41">
        <f t="shared" si="2"/>
        <v>132.40000000002328</v>
      </c>
      <c r="J173" s="42">
        <v>14.2</v>
      </c>
      <c r="K173" s="43">
        <f t="shared" si="1"/>
        <v>1880.0800000003305</v>
      </c>
      <c r="M173" s="26"/>
      <c r="N173" s="26"/>
      <c r="O173" s="9"/>
      <c r="P173" s="9"/>
      <c r="W173" s="9"/>
      <c r="X173" s="9"/>
      <c r="Y173" s="9"/>
    </row>
    <row r="174" spans="1:28" ht="15.75" customHeight="1" x14ac:dyDescent="0.35">
      <c r="A174" s="6" t="s">
        <v>58</v>
      </c>
      <c r="B174" s="2" t="s">
        <v>152</v>
      </c>
      <c r="C174" s="2" t="s">
        <v>20</v>
      </c>
      <c r="D174" s="2" t="s">
        <v>8</v>
      </c>
      <c r="E174" s="9">
        <v>3</v>
      </c>
      <c r="F174" s="9">
        <v>379179.32</v>
      </c>
      <c r="G174" s="9">
        <v>379337.33</v>
      </c>
      <c r="I174" s="41">
        <f t="shared" si="2"/>
        <v>158.01000000000931</v>
      </c>
      <c r="J174" s="42">
        <v>14.2</v>
      </c>
      <c r="K174" s="43">
        <f t="shared" si="1"/>
        <v>2243.7420000001321</v>
      </c>
      <c r="M174" s="26"/>
      <c r="N174" s="26"/>
      <c r="O174" s="9"/>
      <c r="P174" s="9"/>
      <c r="W174" s="9"/>
      <c r="X174" s="9"/>
      <c r="Y174" s="9"/>
    </row>
    <row r="175" spans="1:28" ht="15.75" customHeight="1" x14ac:dyDescent="0.35">
      <c r="A175" s="6" t="s">
        <v>58</v>
      </c>
      <c r="B175" s="2" t="s">
        <v>152</v>
      </c>
      <c r="C175" s="2" t="s">
        <v>20</v>
      </c>
      <c r="D175" s="2" t="s">
        <v>8</v>
      </c>
      <c r="E175" s="9">
        <v>4</v>
      </c>
      <c r="F175" s="9">
        <v>528808.68000000005</v>
      </c>
      <c r="G175" s="9">
        <v>528819.24</v>
      </c>
      <c r="I175" s="41">
        <f t="shared" si="2"/>
        <v>10.559999999939464</v>
      </c>
      <c r="J175" s="42">
        <v>14.2</v>
      </c>
      <c r="K175" s="43">
        <f t="shared" si="1"/>
        <v>149.95199999914038</v>
      </c>
      <c r="M175" s="26"/>
      <c r="N175" s="26"/>
      <c r="O175" s="9"/>
      <c r="P175" s="9"/>
      <c r="W175" s="9"/>
      <c r="X175" s="9"/>
      <c r="Y175" s="9"/>
    </row>
    <row r="176" spans="1:28" ht="15.75" customHeight="1" x14ac:dyDescent="0.35">
      <c r="A176" s="44" t="s">
        <v>59</v>
      </c>
      <c r="B176" s="28" t="s">
        <v>182</v>
      </c>
      <c r="C176" s="28" t="s">
        <v>20</v>
      </c>
      <c r="D176" s="28" t="s">
        <v>4</v>
      </c>
      <c r="E176" s="29">
        <v>1</v>
      </c>
      <c r="F176" s="29">
        <v>361391.92</v>
      </c>
      <c r="G176" s="29">
        <v>361760.91</v>
      </c>
      <c r="H176" s="28"/>
      <c r="I176" s="28">
        <f t="shared" si="2"/>
        <v>368.98999999999069</v>
      </c>
      <c r="J176" s="29">
        <v>12.6</v>
      </c>
      <c r="K176" s="30">
        <f t="shared" si="1"/>
        <v>4649.2739999998821</v>
      </c>
      <c r="L176" s="31">
        <f>K176+K177</f>
        <v>13411.944000000763</v>
      </c>
      <c r="M176" s="32">
        <f>K178+K179+K180+K181</f>
        <v>6304.6580000006943</v>
      </c>
      <c r="N176" s="33">
        <f>SUM(L176:M176)</f>
        <v>19716.602000001458</v>
      </c>
      <c r="O176" s="29">
        <v>50</v>
      </c>
      <c r="P176" s="29"/>
      <c r="Q176" s="28"/>
      <c r="R176" s="28"/>
      <c r="S176" s="28"/>
      <c r="T176" s="28"/>
      <c r="U176" s="28"/>
      <c r="V176" s="28">
        <v>2556</v>
      </c>
      <c r="W176" s="30">
        <f>N176-O176-P176-Q176-R176-S176-T176-U176-V176</f>
        <v>17110.602000001458</v>
      </c>
      <c r="X176" s="29">
        <v>17111</v>
      </c>
      <c r="Y176" s="30">
        <f>X176-W176</f>
        <v>0.39799999854221824</v>
      </c>
      <c r="Z176" s="28"/>
      <c r="AA176" s="28"/>
      <c r="AB176" s="28"/>
    </row>
    <row r="177" spans="1:28" ht="15.75" customHeight="1" x14ac:dyDescent="0.35">
      <c r="A177" s="6" t="s">
        <v>59</v>
      </c>
      <c r="B177" s="2" t="s">
        <v>182</v>
      </c>
      <c r="C177" s="2" t="s">
        <v>20</v>
      </c>
      <c r="D177" s="2" t="s">
        <v>4</v>
      </c>
      <c r="E177" s="9">
        <v>2</v>
      </c>
      <c r="F177" s="9">
        <v>575565.59</v>
      </c>
      <c r="G177" s="9">
        <v>576261.04</v>
      </c>
      <c r="I177" s="41">
        <f t="shared" si="2"/>
        <v>695.45000000006985</v>
      </c>
      <c r="J177" s="42">
        <v>12.6</v>
      </c>
      <c r="K177" s="43">
        <f t="shared" si="1"/>
        <v>8762.6700000008805</v>
      </c>
      <c r="M177" s="26"/>
      <c r="N177" s="26"/>
      <c r="O177" s="9"/>
      <c r="P177" s="9"/>
      <c r="W177" s="9"/>
      <c r="X177" s="9"/>
      <c r="Y177" s="9"/>
    </row>
    <row r="178" spans="1:28" ht="15.75" customHeight="1" x14ac:dyDescent="0.35">
      <c r="A178" s="6" t="s">
        <v>59</v>
      </c>
      <c r="B178" s="2" t="s">
        <v>182</v>
      </c>
      <c r="C178" s="2" t="s">
        <v>22</v>
      </c>
      <c r="D178" s="2" t="s">
        <v>8</v>
      </c>
      <c r="E178" s="9">
        <v>1</v>
      </c>
      <c r="F178" s="9">
        <v>290730.62</v>
      </c>
      <c r="G178" s="9">
        <v>290823.83</v>
      </c>
      <c r="I178" s="41">
        <f t="shared" si="2"/>
        <v>93.210000000020955</v>
      </c>
      <c r="J178" s="42">
        <v>14.2</v>
      </c>
      <c r="K178" s="43">
        <f t="shared" si="1"/>
        <v>1323.5820000002975</v>
      </c>
      <c r="M178" s="26"/>
      <c r="N178" s="26"/>
      <c r="O178" s="9"/>
      <c r="P178" s="9"/>
      <c r="W178" s="9"/>
      <c r="X178" s="9"/>
      <c r="Y178" s="9"/>
    </row>
    <row r="179" spans="1:28" ht="15.75" customHeight="1" x14ac:dyDescent="0.35">
      <c r="A179" s="6" t="s">
        <v>59</v>
      </c>
      <c r="B179" s="2" t="s">
        <v>182</v>
      </c>
      <c r="C179" s="2" t="s">
        <v>22</v>
      </c>
      <c r="D179" s="2" t="s">
        <v>8</v>
      </c>
      <c r="E179" s="9">
        <v>2</v>
      </c>
      <c r="F179" s="9">
        <v>413893.75</v>
      </c>
      <c r="G179" s="9">
        <v>414064.18</v>
      </c>
      <c r="I179" s="41">
        <f t="shared" si="2"/>
        <v>170.42999999999302</v>
      </c>
      <c r="J179" s="42">
        <v>14.2</v>
      </c>
      <c r="K179" s="43">
        <f t="shared" si="1"/>
        <v>2420.1059999999006</v>
      </c>
      <c r="M179" s="26"/>
      <c r="N179" s="26"/>
      <c r="O179" s="9"/>
      <c r="P179" s="9"/>
      <c r="W179" s="9"/>
      <c r="X179" s="9"/>
      <c r="Y179" s="9"/>
    </row>
    <row r="180" spans="1:28" ht="15.75" customHeight="1" x14ac:dyDescent="0.35">
      <c r="A180" s="6" t="s">
        <v>59</v>
      </c>
      <c r="B180" s="2" t="s">
        <v>182</v>
      </c>
      <c r="C180" s="2" t="s">
        <v>22</v>
      </c>
      <c r="D180" s="2" t="s">
        <v>8</v>
      </c>
      <c r="E180" s="9">
        <v>3</v>
      </c>
      <c r="F180" s="9">
        <v>379337.33</v>
      </c>
      <c r="G180" s="9">
        <v>379440.77</v>
      </c>
      <c r="I180" s="41">
        <f t="shared" si="2"/>
        <v>103.44000000000233</v>
      </c>
      <c r="J180" s="42">
        <v>14.2</v>
      </c>
      <c r="K180" s="43">
        <f t="shared" si="1"/>
        <v>1468.8480000000329</v>
      </c>
      <c r="M180" s="26"/>
      <c r="N180" s="26"/>
      <c r="O180" s="9"/>
      <c r="P180" s="9"/>
      <c r="W180" s="9"/>
      <c r="X180" s="9"/>
      <c r="Y180" s="9"/>
    </row>
    <row r="181" spans="1:28" ht="15.75" customHeight="1" x14ac:dyDescent="0.35">
      <c r="A181" s="6" t="s">
        <v>59</v>
      </c>
      <c r="B181" s="2" t="s">
        <v>182</v>
      </c>
      <c r="C181" s="2" t="s">
        <v>22</v>
      </c>
      <c r="D181" s="2" t="s">
        <v>8</v>
      </c>
      <c r="E181" s="9">
        <v>4</v>
      </c>
      <c r="F181" s="9">
        <v>528819.24</v>
      </c>
      <c r="G181" s="9">
        <v>528896.15</v>
      </c>
      <c r="I181" s="41">
        <f t="shared" si="2"/>
        <v>76.910000000032596</v>
      </c>
      <c r="J181" s="42">
        <v>14.2</v>
      </c>
      <c r="K181" s="43">
        <f t="shared" si="1"/>
        <v>1092.1220000004628</v>
      </c>
      <c r="M181" s="26"/>
      <c r="N181" s="26"/>
      <c r="O181" s="9"/>
      <c r="P181" s="9"/>
      <c r="W181" s="9"/>
      <c r="X181" s="9"/>
      <c r="Y181" s="9"/>
    </row>
    <row r="182" spans="1:28" ht="15.75" customHeight="1" x14ac:dyDescent="0.35">
      <c r="A182" s="45" t="s">
        <v>60</v>
      </c>
      <c r="B182" s="35" t="s">
        <v>159</v>
      </c>
      <c r="C182" s="35" t="s">
        <v>25</v>
      </c>
      <c r="D182" s="35" t="s">
        <v>4</v>
      </c>
      <c r="E182" s="36">
        <v>1</v>
      </c>
      <c r="F182" s="36">
        <v>361760.91</v>
      </c>
      <c r="G182" s="36">
        <v>362153.59</v>
      </c>
      <c r="H182" s="35"/>
      <c r="I182" s="35">
        <f t="shared" si="2"/>
        <v>392.68000000005122</v>
      </c>
      <c r="J182" s="36">
        <v>12.6</v>
      </c>
      <c r="K182" s="37">
        <f t="shared" si="1"/>
        <v>4947.7680000006449</v>
      </c>
      <c r="L182" s="38">
        <f>K182+K183</f>
        <v>14942.088000000058</v>
      </c>
      <c r="M182" s="39">
        <f>K184+K185+K186+K187</f>
        <v>23307.169999998012</v>
      </c>
      <c r="N182" s="40">
        <f>SUM(L182:M182)</f>
        <v>38249.257999998066</v>
      </c>
      <c r="O182" s="36">
        <v>50</v>
      </c>
      <c r="P182" s="36"/>
      <c r="Q182" s="35">
        <v>4000</v>
      </c>
      <c r="R182" s="35"/>
      <c r="S182" s="35"/>
      <c r="T182" s="35"/>
      <c r="U182" s="35">
        <v>1150</v>
      </c>
      <c r="V182" s="35"/>
      <c r="W182" s="37">
        <f>N182-O182-P182-Q182-R182-S182-T182-U182-V182</f>
        <v>33049.257999998066</v>
      </c>
      <c r="X182" s="36">
        <v>33050</v>
      </c>
      <c r="Y182" s="37">
        <f>X182-W182</f>
        <v>0.74200000193377491</v>
      </c>
      <c r="Z182" s="35"/>
      <c r="AA182" s="35"/>
      <c r="AB182" s="35"/>
    </row>
    <row r="183" spans="1:28" ht="15.75" customHeight="1" x14ac:dyDescent="0.35">
      <c r="A183" s="6" t="s">
        <v>60</v>
      </c>
      <c r="B183" s="2" t="s">
        <v>159</v>
      </c>
      <c r="C183" s="2" t="s">
        <v>25</v>
      </c>
      <c r="D183" s="2" t="s">
        <v>8</v>
      </c>
      <c r="E183" s="9">
        <v>2</v>
      </c>
      <c r="F183" s="9">
        <v>576261.04</v>
      </c>
      <c r="G183" s="9">
        <v>577054.24</v>
      </c>
      <c r="I183" s="41">
        <f t="shared" si="2"/>
        <v>793.19999999995343</v>
      </c>
      <c r="J183" s="42">
        <v>12.6</v>
      </c>
      <c r="K183" s="43">
        <f t="shared" si="1"/>
        <v>9994.3199999994122</v>
      </c>
      <c r="M183" s="26"/>
      <c r="N183" s="26"/>
      <c r="O183" s="9"/>
      <c r="P183" s="9"/>
      <c r="W183" s="9"/>
      <c r="X183" s="9"/>
      <c r="Y183" s="9"/>
    </row>
    <row r="184" spans="1:28" ht="15.75" customHeight="1" x14ac:dyDescent="0.35">
      <c r="A184" s="6" t="s">
        <v>60</v>
      </c>
      <c r="B184" s="2" t="s">
        <v>159</v>
      </c>
      <c r="C184" s="2" t="s">
        <v>16</v>
      </c>
      <c r="D184" s="2" t="s">
        <v>8</v>
      </c>
      <c r="E184" s="9">
        <v>1</v>
      </c>
      <c r="F184" s="9">
        <v>290823.83</v>
      </c>
      <c r="G184" s="9">
        <v>290885.82</v>
      </c>
      <c r="I184" s="41">
        <f t="shared" si="2"/>
        <v>61.989999999990687</v>
      </c>
      <c r="J184" s="42">
        <v>14.2</v>
      </c>
      <c r="K184" s="43">
        <f t="shared" si="1"/>
        <v>880.25799999986771</v>
      </c>
      <c r="M184" s="26"/>
      <c r="N184" s="26"/>
      <c r="O184" s="9"/>
      <c r="P184" s="9"/>
      <c r="W184" s="9"/>
      <c r="X184" s="9"/>
      <c r="Y184" s="9"/>
    </row>
    <row r="185" spans="1:28" ht="15.75" customHeight="1" x14ac:dyDescent="0.35">
      <c r="A185" s="6" t="s">
        <v>60</v>
      </c>
      <c r="B185" s="2" t="s">
        <v>159</v>
      </c>
      <c r="C185" s="2" t="s">
        <v>16</v>
      </c>
      <c r="D185" s="2" t="s">
        <v>8</v>
      </c>
      <c r="E185" s="9">
        <v>2</v>
      </c>
      <c r="F185" s="9">
        <v>414064.18</v>
      </c>
      <c r="G185" s="9">
        <v>414705.04</v>
      </c>
      <c r="I185" s="41">
        <f t="shared" si="2"/>
        <v>640.85999999998603</v>
      </c>
      <c r="J185" s="42">
        <v>14.2</v>
      </c>
      <c r="K185" s="43">
        <f t="shared" si="1"/>
        <v>9100.2119999998013</v>
      </c>
      <c r="M185" s="26"/>
      <c r="N185" s="26"/>
      <c r="O185" s="9"/>
      <c r="P185" s="9"/>
      <c r="W185" s="9"/>
      <c r="X185" s="9"/>
      <c r="Y185" s="9"/>
    </row>
    <row r="186" spans="1:28" ht="15.75" customHeight="1" x14ac:dyDescent="0.35">
      <c r="A186" s="6" t="s">
        <v>60</v>
      </c>
      <c r="B186" s="2" t="s">
        <v>159</v>
      </c>
      <c r="C186" s="2" t="s">
        <v>16</v>
      </c>
      <c r="D186" s="2" t="s">
        <v>8</v>
      </c>
      <c r="E186" s="9">
        <v>3</v>
      </c>
      <c r="F186" s="9">
        <v>379440.77</v>
      </c>
      <c r="G186" s="9">
        <v>379729.35</v>
      </c>
      <c r="I186" s="41">
        <f t="shared" si="2"/>
        <v>288.57999999995809</v>
      </c>
      <c r="J186" s="42">
        <v>14.2</v>
      </c>
      <c r="K186" s="43">
        <f t="shared" si="1"/>
        <v>4097.8359999994045</v>
      </c>
      <c r="M186" s="26"/>
      <c r="N186" s="26"/>
      <c r="O186" s="9"/>
      <c r="P186" s="9"/>
      <c r="W186" s="9"/>
      <c r="X186" s="9"/>
      <c r="Y186" s="9"/>
    </row>
    <row r="187" spans="1:28" ht="15.75" customHeight="1" x14ac:dyDescent="0.35">
      <c r="A187" s="6" t="s">
        <v>60</v>
      </c>
      <c r="B187" s="2" t="s">
        <v>159</v>
      </c>
      <c r="C187" s="2" t="s">
        <v>16</v>
      </c>
      <c r="D187" s="2" t="s">
        <v>8</v>
      </c>
      <c r="E187" s="9">
        <v>4</v>
      </c>
      <c r="F187" s="9">
        <v>528896.15</v>
      </c>
      <c r="G187" s="9">
        <v>529546.06999999995</v>
      </c>
      <c r="I187" s="41">
        <f t="shared" si="2"/>
        <v>649.91999999992549</v>
      </c>
      <c r="J187" s="42">
        <v>14.2</v>
      </c>
      <c r="K187" s="43">
        <f t="shared" si="1"/>
        <v>9228.8639999989409</v>
      </c>
      <c r="M187" s="26"/>
      <c r="N187" s="26"/>
      <c r="O187" s="9"/>
      <c r="P187" s="9"/>
      <c r="W187" s="9"/>
      <c r="X187" s="9"/>
      <c r="Y187" s="9"/>
    </row>
    <row r="188" spans="1:28" ht="15.75" customHeight="1" x14ac:dyDescent="0.35">
      <c r="A188" s="6"/>
      <c r="E188" s="9"/>
      <c r="F188" s="9"/>
      <c r="G188" s="9"/>
      <c r="M188" s="26"/>
      <c r="N188" s="26"/>
      <c r="O188" s="9"/>
      <c r="P188" s="9"/>
      <c r="W188" s="9"/>
      <c r="X188" s="9"/>
      <c r="Y188" s="9"/>
    </row>
    <row r="189" spans="1:28" ht="15.75" customHeight="1" x14ac:dyDescent="0.35">
      <c r="A189" s="6"/>
      <c r="E189" s="9"/>
      <c r="F189" s="9"/>
      <c r="G189" s="9"/>
      <c r="M189" s="26"/>
      <c r="N189" s="26"/>
      <c r="O189" s="9"/>
      <c r="P189" s="9"/>
      <c r="W189" s="9"/>
      <c r="X189" s="9"/>
      <c r="Y189" s="9"/>
    </row>
    <row r="190" spans="1:28" ht="15.75" customHeight="1" x14ac:dyDescent="0.35">
      <c r="A190" s="6"/>
      <c r="E190" s="9"/>
      <c r="F190" s="9"/>
      <c r="G190" s="9"/>
      <c r="M190" s="26"/>
      <c r="N190" s="26"/>
      <c r="O190" s="9"/>
      <c r="P190" s="9"/>
      <c r="W190" s="9"/>
      <c r="X190" s="9"/>
      <c r="Y190" s="9"/>
    </row>
    <row r="191" spans="1:28" ht="15.75" customHeight="1" x14ac:dyDescent="0.35">
      <c r="A191" s="6"/>
      <c r="E191" s="9"/>
      <c r="F191" s="9"/>
      <c r="G191" s="9"/>
      <c r="M191" s="26"/>
      <c r="N191" s="26"/>
      <c r="O191" s="9"/>
      <c r="P191" s="9"/>
      <c r="W191" s="9"/>
      <c r="X191" s="9"/>
      <c r="Y191" s="9"/>
    </row>
    <row r="192" spans="1:28" ht="15.75" customHeight="1" x14ac:dyDescent="0.35">
      <c r="A192" s="6"/>
      <c r="E192" s="9"/>
      <c r="F192" s="9"/>
      <c r="G192" s="9"/>
      <c r="M192" s="26"/>
      <c r="N192" s="26"/>
      <c r="O192" s="9"/>
      <c r="P192" s="9"/>
      <c r="W192" s="9"/>
      <c r="X192" s="9"/>
      <c r="Y192" s="9"/>
    </row>
    <row r="193" spans="1:25" ht="15.75" customHeight="1" x14ac:dyDescent="0.35">
      <c r="A193" s="6"/>
      <c r="E193" s="9"/>
      <c r="F193" s="9"/>
      <c r="G193" s="9"/>
      <c r="M193" s="26"/>
      <c r="N193" s="26"/>
      <c r="O193" s="9"/>
      <c r="P193" s="9"/>
      <c r="W193" s="9"/>
      <c r="X193" s="9"/>
      <c r="Y193" s="9"/>
    </row>
    <row r="194" spans="1:25" ht="15.75" customHeight="1" x14ac:dyDescent="0.35">
      <c r="A194" s="6"/>
      <c r="E194" s="9"/>
      <c r="F194" s="9"/>
      <c r="G194" s="9"/>
      <c r="M194" s="26"/>
      <c r="N194" s="26"/>
      <c r="O194" s="9"/>
      <c r="P194" s="9"/>
      <c r="W194" s="9"/>
      <c r="X194" s="9"/>
      <c r="Y194" s="9"/>
    </row>
    <row r="195" spans="1:25" ht="15.75" customHeight="1" x14ac:dyDescent="0.35">
      <c r="A195" s="6"/>
      <c r="E195" s="9"/>
      <c r="F195" s="9"/>
      <c r="G195" s="9"/>
      <c r="M195" s="26"/>
      <c r="N195" s="26"/>
      <c r="O195" s="9"/>
      <c r="P195" s="9"/>
      <c r="W195" s="9"/>
      <c r="X195" s="9"/>
      <c r="Y195" s="9"/>
    </row>
    <row r="196" spans="1:25" ht="15.75" customHeight="1" x14ac:dyDescent="0.35">
      <c r="A196" s="6"/>
      <c r="E196" s="9"/>
      <c r="F196" s="9"/>
      <c r="G196" s="9"/>
      <c r="M196" s="26"/>
      <c r="N196" s="26"/>
      <c r="O196" s="9"/>
      <c r="P196" s="9"/>
      <c r="W196" s="9"/>
      <c r="X196" s="9"/>
      <c r="Y196" s="9"/>
    </row>
    <row r="197" spans="1:25" ht="15.75" customHeight="1" x14ac:dyDescent="0.35">
      <c r="A197" s="6"/>
      <c r="E197" s="9"/>
      <c r="F197" s="9"/>
      <c r="G197" s="9"/>
      <c r="M197" s="26"/>
      <c r="N197" s="26"/>
      <c r="O197" s="9"/>
      <c r="P197" s="9"/>
      <c r="W197" s="9"/>
      <c r="X197" s="9"/>
      <c r="Y197" s="9"/>
    </row>
    <row r="198" spans="1:25" ht="15.75" customHeight="1" x14ac:dyDescent="0.35">
      <c r="A198" s="6"/>
      <c r="E198" s="9"/>
      <c r="F198" s="9"/>
      <c r="G198" s="9"/>
      <c r="M198" s="26"/>
      <c r="N198" s="26"/>
      <c r="O198" s="9"/>
      <c r="P198" s="9"/>
      <c r="W198" s="9"/>
      <c r="X198" s="9"/>
      <c r="Y198" s="9"/>
    </row>
    <row r="199" spans="1:25" ht="15.75" customHeight="1" x14ac:dyDescent="0.35">
      <c r="A199" s="6"/>
      <c r="E199" s="9"/>
      <c r="F199" s="9"/>
      <c r="G199" s="9"/>
      <c r="M199" s="26"/>
      <c r="N199" s="26"/>
      <c r="O199" s="9"/>
      <c r="P199" s="9"/>
      <c r="W199" s="9"/>
      <c r="X199" s="9"/>
      <c r="Y199" s="9"/>
    </row>
    <row r="200" spans="1:25" ht="15.75" customHeight="1" x14ac:dyDescent="0.35">
      <c r="A200" s="6"/>
      <c r="E200" s="9"/>
      <c r="F200" s="9"/>
      <c r="G200" s="9"/>
      <c r="M200" s="26"/>
      <c r="N200" s="26"/>
      <c r="O200" s="9"/>
      <c r="P200" s="9"/>
      <c r="W200" s="9"/>
      <c r="X200" s="9"/>
      <c r="Y200" s="9"/>
    </row>
    <row r="201" spans="1:25" ht="15.75" customHeight="1" x14ac:dyDescent="0.35">
      <c r="A201" s="6"/>
      <c r="E201" s="9"/>
      <c r="F201" s="9"/>
      <c r="G201" s="9"/>
      <c r="M201" s="26"/>
      <c r="N201" s="26"/>
      <c r="O201" s="9"/>
      <c r="P201" s="9"/>
      <c r="W201" s="9"/>
      <c r="X201" s="9"/>
      <c r="Y201" s="9"/>
    </row>
    <row r="202" spans="1:25" ht="15.75" customHeight="1" x14ac:dyDescent="0.35">
      <c r="A202" s="6"/>
      <c r="E202" s="9"/>
      <c r="F202" s="9"/>
      <c r="G202" s="9"/>
      <c r="M202" s="26"/>
      <c r="N202" s="26"/>
      <c r="O202" s="9"/>
      <c r="P202" s="9"/>
      <c r="W202" s="9"/>
      <c r="X202" s="9"/>
      <c r="Y202" s="9"/>
    </row>
    <row r="203" spans="1:25" ht="15.75" customHeight="1" x14ac:dyDescent="0.35">
      <c r="A203" s="6"/>
      <c r="E203" s="9"/>
      <c r="F203" s="9"/>
      <c r="G203" s="9"/>
      <c r="M203" s="26"/>
      <c r="N203" s="26"/>
      <c r="O203" s="9"/>
      <c r="P203" s="9"/>
      <c r="W203" s="9"/>
      <c r="X203" s="9"/>
      <c r="Y203" s="9"/>
    </row>
    <row r="204" spans="1:25" ht="15.75" customHeight="1" x14ac:dyDescent="0.35">
      <c r="A204" s="6"/>
      <c r="E204" s="9"/>
      <c r="F204" s="9"/>
      <c r="G204" s="9"/>
      <c r="M204" s="26"/>
      <c r="N204" s="26"/>
      <c r="O204" s="9"/>
      <c r="P204" s="9"/>
      <c r="W204" s="9"/>
      <c r="X204" s="9"/>
      <c r="Y204" s="9"/>
    </row>
    <row r="205" spans="1:25" ht="15.75" customHeight="1" x14ac:dyDescent="0.35">
      <c r="A205" s="6"/>
      <c r="E205" s="9"/>
      <c r="F205" s="9"/>
      <c r="G205" s="9"/>
      <c r="M205" s="26"/>
      <c r="N205" s="26"/>
      <c r="O205" s="9"/>
      <c r="P205" s="9"/>
      <c r="W205" s="9"/>
      <c r="X205" s="9"/>
      <c r="Y205" s="9"/>
    </row>
    <row r="206" spans="1:25" ht="15.75" customHeight="1" x14ac:dyDescent="0.35">
      <c r="A206" s="6"/>
      <c r="E206" s="9"/>
      <c r="F206" s="9"/>
      <c r="G206" s="9"/>
      <c r="M206" s="26"/>
      <c r="N206" s="26"/>
      <c r="O206" s="9"/>
      <c r="P206" s="9"/>
      <c r="W206" s="9"/>
      <c r="X206" s="9"/>
      <c r="Y206" s="9"/>
    </row>
    <row r="207" spans="1:25" ht="15.75" customHeight="1" x14ac:dyDescent="0.35">
      <c r="A207" s="6"/>
      <c r="E207" s="9"/>
      <c r="F207" s="9"/>
      <c r="G207" s="9"/>
      <c r="M207" s="26"/>
      <c r="N207" s="26"/>
      <c r="O207" s="9"/>
      <c r="P207" s="9"/>
      <c r="W207" s="9"/>
      <c r="X207" s="9"/>
      <c r="Y207" s="9"/>
    </row>
    <row r="208" spans="1:25" ht="15.75" customHeight="1" x14ac:dyDescent="0.35">
      <c r="A208" s="6"/>
      <c r="E208" s="9"/>
      <c r="F208" s="9"/>
      <c r="G208" s="9"/>
      <c r="M208" s="26"/>
      <c r="N208" s="26"/>
      <c r="O208" s="9"/>
      <c r="P208" s="9"/>
      <c r="W208" s="9"/>
      <c r="X208" s="9"/>
      <c r="Y208" s="9"/>
    </row>
    <row r="209" spans="1:25" ht="15.75" customHeight="1" x14ac:dyDescent="0.35">
      <c r="A209" s="6"/>
      <c r="E209" s="9"/>
      <c r="F209" s="9"/>
      <c r="G209" s="9"/>
      <c r="M209" s="26"/>
      <c r="N209" s="26"/>
      <c r="O209" s="9"/>
      <c r="P209" s="9"/>
      <c r="W209" s="9"/>
      <c r="X209" s="9"/>
      <c r="Y209" s="9"/>
    </row>
    <row r="210" spans="1:25" ht="15.75" customHeight="1" x14ac:dyDescent="0.35">
      <c r="A210" s="6"/>
      <c r="E210" s="9"/>
      <c r="F210" s="9"/>
      <c r="G210" s="9"/>
      <c r="M210" s="26"/>
      <c r="N210" s="26"/>
      <c r="O210" s="9"/>
      <c r="P210" s="9"/>
      <c r="W210" s="9"/>
      <c r="X210" s="9"/>
      <c r="Y210" s="9"/>
    </row>
    <row r="211" spans="1:25" ht="15.75" customHeight="1" x14ac:dyDescent="0.35">
      <c r="A211" s="6"/>
      <c r="E211" s="9"/>
      <c r="F211" s="9"/>
      <c r="G211" s="9"/>
      <c r="M211" s="26"/>
      <c r="N211" s="26"/>
      <c r="O211" s="9"/>
      <c r="P211" s="9"/>
      <c r="W211" s="9"/>
      <c r="X211" s="9"/>
      <c r="Y211" s="9"/>
    </row>
    <row r="212" spans="1:25" ht="15.75" customHeight="1" x14ac:dyDescent="0.35">
      <c r="A212" s="6"/>
      <c r="E212" s="9"/>
      <c r="F212" s="9"/>
      <c r="G212" s="9"/>
      <c r="M212" s="26"/>
      <c r="N212" s="26"/>
      <c r="O212" s="9"/>
      <c r="P212" s="9"/>
      <c r="W212" s="9"/>
      <c r="X212" s="9"/>
      <c r="Y212" s="9"/>
    </row>
    <row r="213" spans="1:25" ht="15.75" customHeight="1" x14ac:dyDescent="0.35">
      <c r="A213" s="6"/>
      <c r="E213" s="9"/>
      <c r="F213" s="9"/>
      <c r="G213" s="9"/>
      <c r="M213" s="26"/>
      <c r="N213" s="26"/>
      <c r="O213" s="9"/>
      <c r="P213" s="9"/>
      <c r="W213" s="9"/>
      <c r="X213" s="9"/>
      <c r="Y213" s="9"/>
    </row>
    <row r="214" spans="1:25" ht="15.75" customHeight="1" x14ac:dyDescent="0.35">
      <c r="A214" s="6"/>
      <c r="E214" s="9"/>
      <c r="F214" s="9"/>
      <c r="G214" s="9"/>
      <c r="M214" s="26"/>
      <c r="N214" s="26"/>
      <c r="O214" s="9"/>
      <c r="P214" s="9"/>
      <c r="W214" s="9"/>
      <c r="X214" s="9"/>
      <c r="Y214" s="9"/>
    </row>
    <row r="215" spans="1:25" ht="15.75" customHeight="1" x14ac:dyDescent="0.35">
      <c r="A215" s="6"/>
      <c r="E215" s="9"/>
      <c r="F215" s="9"/>
      <c r="G215" s="9"/>
      <c r="M215" s="26"/>
      <c r="N215" s="26"/>
      <c r="O215" s="9"/>
      <c r="P215" s="9"/>
      <c r="W215" s="9"/>
      <c r="X215" s="9"/>
      <c r="Y215" s="9"/>
    </row>
    <row r="216" spans="1:25" ht="15.75" customHeight="1" x14ac:dyDescent="0.35">
      <c r="A216" s="6"/>
      <c r="E216" s="9"/>
      <c r="F216" s="9"/>
      <c r="G216" s="9"/>
      <c r="M216" s="26"/>
      <c r="N216" s="26"/>
      <c r="O216" s="9"/>
      <c r="P216" s="9"/>
      <c r="W216" s="9"/>
      <c r="X216" s="9"/>
      <c r="Y216" s="9"/>
    </row>
    <row r="217" spans="1:25" ht="15.75" customHeight="1" x14ac:dyDescent="0.35">
      <c r="A217" s="6"/>
      <c r="E217" s="9"/>
      <c r="F217" s="9"/>
      <c r="G217" s="9"/>
      <c r="M217" s="26"/>
      <c r="N217" s="26"/>
      <c r="O217" s="9"/>
      <c r="P217" s="9"/>
      <c r="W217" s="9"/>
      <c r="X217" s="9"/>
      <c r="Y217" s="9"/>
    </row>
    <row r="218" spans="1:25" ht="15.75" customHeight="1" x14ac:dyDescent="0.35">
      <c r="A218" s="6"/>
      <c r="E218" s="9"/>
      <c r="F218" s="9"/>
      <c r="G218" s="9"/>
      <c r="M218" s="26"/>
      <c r="N218" s="26"/>
      <c r="O218" s="9"/>
      <c r="P218" s="9"/>
      <c r="W218" s="9"/>
      <c r="X218" s="9"/>
      <c r="Y218" s="9"/>
    </row>
    <row r="219" spans="1:25" ht="15.75" customHeight="1" x14ac:dyDescent="0.35">
      <c r="A219" s="6"/>
      <c r="E219" s="9"/>
      <c r="F219" s="9"/>
      <c r="G219" s="9"/>
      <c r="M219" s="26"/>
      <c r="N219" s="26"/>
      <c r="O219" s="9"/>
      <c r="P219" s="9"/>
      <c r="W219" s="9"/>
      <c r="X219" s="9"/>
      <c r="Y219" s="9"/>
    </row>
    <row r="220" spans="1:25" ht="15.75" customHeight="1" x14ac:dyDescent="0.35">
      <c r="A220" s="6"/>
      <c r="E220" s="9"/>
      <c r="F220" s="9"/>
      <c r="G220" s="9"/>
      <c r="M220" s="26"/>
      <c r="N220" s="26"/>
      <c r="O220" s="9"/>
      <c r="P220" s="9"/>
      <c r="W220" s="9"/>
      <c r="X220" s="9"/>
      <c r="Y220" s="9"/>
    </row>
    <row r="221" spans="1:25" ht="15.75" customHeight="1" x14ac:dyDescent="0.35">
      <c r="A221" s="6"/>
      <c r="E221" s="9"/>
      <c r="F221" s="9"/>
      <c r="G221" s="9"/>
      <c r="M221" s="26"/>
      <c r="N221" s="26"/>
      <c r="O221" s="9"/>
      <c r="P221" s="9"/>
      <c r="W221" s="9"/>
      <c r="X221" s="9"/>
      <c r="Y221" s="9"/>
    </row>
    <row r="222" spans="1:25" ht="15.75" customHeight="1" x14ac:dyDescent="0.35">
      <c r="A222" s="6"/>
      <c r="E222" s="9"/>
      <c r="F222" s="9"/>
      <c r="G222" s="9"/>
      <c r="M222" s="26"/>
      <c r="N222" s="26"/>
      <c r="O222" s="9"/>
      <c r="P222" s="9"/>
      <c r="W222" s="9"/>
      <c r="X222" s="9"/>
      <c r="Y222" s="9"/>
    </row>
    <row r="223" spans="1:25" ht="15.75" customHeight="1" x14ac:dyDescent="0.35">
      <c r="A223" s="6"/>
      <c r="E223" s="9"/>
      <c r="F223" s="9"/>
      <c r="G223" s="9"/>
      <c r="M223" s="26"/>
      <c r="N223" s="26"/>
      <c r="O223" s="9"/>
      <c r="P223" s="9"/>
      <c r="W223" s="9"/>
      <c r="X223" s="9"/>
      <c r="Y223" s="9"/>
    </row>
    <row r="224" spans="1:25" ht="15.75" customHeight="1" x14ac:dyDescent="0.35">
      <c r="A224" s="6"/>
      <c r="E224" s="9"/>
      <c r="F224" s="9"/>
      <c r="G224" s="9"/>
      <c r="M224" s="26"/>
      <c r="N224" s="26"/>
      <c r="O224" s="9"/>
      <c r="P224" s="9"/>
      <c r="W224" s="9"/>
      <c r="X224" s="9"/>
      <c r="Y224" s="9"/>
    </row>
    <row r="225" spans="1:25" ht="15.75" customHeight="1" x14ac:dyDescent="0.35">
      <c r="A225" s="6"/>
      <c r="E225" s="9"/>
      <c r="F225" s="9"/>
      <c r="G225" s="9"/>
      <c r="M225" s="26"/>
      <c r="N225" s="26"/>
      <c r="O225" s="9"/>
      <c r="P225" s="9"/>
      <c r="W225" s="9"/>
      <c r="X225" s="9"/>
      <c r="Y225" s="9"/>
    </row>
    <row r="226" spans="1:25" ht="15.75" customHeight="1" x14ac:dyDescent="0.35">
      <c r="A226" s="6"/>
      <c r="E226" s="9"/>
      <c r="F226" s="9"/>
      <c r="G226" s="9"/>
      <c r="M226" s="26"/>
      <c r="N226" s="26"/>
      <c r="O226" s="9"/>
      <c r="P226" s="9"/>
      <c r="W226" s="9"/>
      <c r="X226" s="9"/>
      <c r="Y226" s="9"/>
    </row>
    <row r="227" spans="1:25" ht="15.75" customHeight="1" x14ac:dyDescent="0.35">
      <c r="A227" s="6"/>
      <c r="E227" s="9"/>
      <c r="F227" s="9"/>
      <c r="G227" s="9"/>
      <c r="M227" s="26"/>
      <c r="N227" s="26"/>
      <c r="O227" s="9"/>
      <c r="P227" s="9"/>
      <c r="W227" s="9"/>
      <c r="X227" s="9"/>
      <c r="Y227" s="9"/>
    </row>
    <row r="228" spans="1:25" ht="15.75" customHeight="1" x14ac:dyDescent="0.35">
      <c r="A228" s="6"/>
      <c r="E228" s="9"/>
      <c r="F228" s="9"/>
      <c r="G228" s="9"/>
      <c r="M228" s="26"/>
      <c r="N228" s="26"/>
      <c r="O228" s="9"/>
      <c r="P228" s="9"/>
      <c r="W228" s="9"/>
      <c r="X228" s="9"/>
      <c r="Y228" s="9"/>
    </row>
    <row r="229" spans="1:25" ht="15.75" customHeight="1" x14ac:dyDescent="0.35">
      <c r="A229" s="6"/>
      <c r="E229" s="9"/>
      <c r="F229" s="9"/>
      <c r="G229" s="9"/>
      <c r="M229" s="26"/>
      <c r="N229" s="26"/>
      <c r="O229" s="9"/>
      <c r="P229" s="9"/>
      <c r="W229" s="9"/>
      <c r="X229" s="9"/>
      <c r="Y229" s="9"/>
    </row>
    <row r="230" spans="1:25" ht="15.75" customHeight="1" x14ac:dyDescent="0.35">
      <c r="A230" s="6"/>
      <c r="E230" s="9"/>
      <c r="F230" s="9"/>
      <c r="G230" s="9"/>
      <c r="M230" s="26"/>
      <c r="N230" s="26"/>
      <c r="O230" s="9"/>
      <c r="P230" s="9"/>
      <c r="W230" s="9"/>
      <c r="X230" s="9"/>
      <c r="Y230" s="9"/>
    </row>
    <row r="231" spans="1:25" ht="15.75" customHeight="1" x14ac:dyDescent="0.35">
      <c r="A231" s="6"/>
      <c r="E231" s="9"/>
      <c r="F231" s="9"/>
      <c r="G231" s="9"/>
      <c r="M231" s="26"/>
      <c r="N231" s="26"/>
      <c r="O231" s="9"/>
      <c r="P231" s="9"/>
      <c r="W231" s="9"/>
      <c r="X231" s="9"/>
      <c r="Y231" s="9"/>
    </row>
    <row r="232" spans="1:25" ht="15.75" customHeight="1" x14ac:dyDescent="0.35">
      <c r="A232" s="6"/>
      <c r="E232" s="9"/>
      <c r="F232" s="9"/>
      <c r="G232" s="9"/>
      <c r="M232" s="26"/>
      <c r="N232" s="26"/>
      <c r="O232" s="9"/>
      <c r="P232" s="9"/>
      <c r="W232" s="9"/>
      <c r="X232" s="9"/>
      <c r="Y232" s="9"/>
    </row>
    <row r="233" spans="1:25" ht="15.75" customHeight="1" x14ac:dyDescent="0.35">
      <c r="A233" s="6"/>
      <c r="E233" s="9"/>
      <c r="F233" s="9"/>
      <c r="G233" s="9"/>
      <c r="M233" s="26"/>
      <c r="N233" s="26"/>
      <c r="O233" s="9"/>
      <c r="P233" s="9"/>
      <c r="W233" s="9"/>
      <c r="X233" s="9"/>
      <c r="Y233" s="9"/>
    </row>
    <row r="234" spans="1:25" ht="15.75" customHeight="1" x14ac:dyDescent="0.35">
      <c r="A234" s="6"/>
      <c r="E234" s="9"/>
      <c r="F234" s="9"/>
      <c r="G234" s="9"/>
      <c r="M234" s="26"/>
      <c r="N234" s="26"/>
      <c r="O234" s="9"/>
      <c r="P234" s="9"/>
      <c r="W234" s="9"/>
      <c r="X234" s="9"/>
      <c r="Y234" s="9"/>
    </row>
    <row r="235" spans="1:25" ht="15.75" customHeight="1" x14ac:dyDescent="0.35">
      <c r="A235" s="6"/>
      <c r="E235" s="9"/>
      <c r="F235" s="9"/>
      <c r="G235" s="9"/>
      <c r="M235" s="26"/>
      <c r="N235" s="26"/>
      <c r="O235" s="9"/>
      <c r="P235" s="9"/>
      <c r="W235" s="9"/>
      <c r="X235" s="9"/>
      <c r="Y235" s="9"/>
    </row>
    <row r="236" spans="1:25" ht="15.75" customHeight="1" x14ac:dyDescent="0.35">
      <c r="A236" s="6"/>
      <c r="E236" s="9"/>
      <c r="F236" s="9"/>
      <c r="G236" s="9"/>
      <c r="M236" s="26"/>
      <c r="N236" s="26"/>
      <c r="O236" s="9"/>
      <c r="P236" s="9"/>
      <c r="W236" s="9"/>
      <c r="X236" s="9"/>
      <c r="Y236" s="9"/>
    </row>
    <row r="237" spans="1:25" ht="15.75" customHeight="1" x14ac:dyDescent="0.35">
      <c r="A237" s="6"/>
      <c r="E237" s="9"/>
      <c r="F237" s="9"/>
      <c r="G237" s="9"/>
      <c r="M237" s="26"/>
      <c r="N237" s="26"/>
      <c r="O237" s="9"/>
      <c r="P237" s="9"/>
      <c r="W237" s="9"/>
      <c r="X237" s="9"/>
      <c r="Y237" s="9"/>
    </row>
    <row r="238" spans="1:25" ht="15.75" customHeight="1" x14ac:dyDescent="0.35">
      <c r="A238" s="6"/>
      <c r="E238" s="9"/>
      <c r="F238" s="9"/>
      <c r="G238" s="9"/>
      <c r="M238" s="26"/>
      <c r="N238" s="26"/>
      <c r="O238" s="9"/>
      <c r="P238" s="9"/>
      <c r="W238" s="9"/>
      <c r="X238" s="9"/>
      <c r="Y238" s="9"/>
    </row>
    <row r="239" spans="1:25" ht="15.75" customHeight="1" x14ac:dyDescent="0.35">
      <c r="A239" s="6"/>
      <c r="E239" s="9"/>
      <c r="F239" s="9"/>
      <c r="G239" s="9"/>
      <c r="M239" s="26"/>
      <c r="N239" s="26"/>
      <c r="O239" s="9"/>
      <c r="P239" s="9"/>
      <c r="W239" s="9"/>
      <c r="X239" s="9"/>
      <c r="Y239" s="9"/>
    </row>
    <row r="240" spans="1:25" ht="15.75" customHeight="1" x14ac:dyDescent="0.35">
      <c r="A240" s="6"/>
      <c r="E240" s="9"/>
      <c r="F240" s="9"/>
      <c r="G240" s="9"/>
      <c r="M240" s="26"/>
      <c r="N240" s="26"/>
      <c r="O240" s="9"/>
      <c r="P240" s="9"/>
      <c r="W240" s="9"/>
      <c r="X240" s="9"/>
      <c r="Y240" s="9"/>
    </row>
    <row r="241" spans="1:25" ht="15.75" customHeight="1" x14ac:dyDescent="0.35">
      <c r="A241" s="6"/>
      <c r="E241" s="9"/>
      <c r="F241" s="9"/>
      <c r="G241" s="9"/>
      <c r="M241" s="26"/>
      <c r="N241" s="26"/>
      <c r="O241" s="9"/>
      <c r="P241" s="9"/>
      <c r="W241" s="9"/>
      <c r="X241" s="9"/>
      <c r="Y241" s="9"/>
    </row>
    <row r="242" spans="1:25" ht="15.75" customHeight="1" x14ac:dyDescent="0.35">
      <c r="A242" s="6"/>
      <c r="E242" s="9"/>
      <c r="F242" s="9"/>
      <c r="G242" s="9"/>
      <c r="M242" s="26"/>
      <c r="N242" s="26"/>
      <c r="O242" s="9"/>
      <c r="P242" s="9"/>
      <c r="W242" s="9"/>
      <c r="X242" s="9"/>
      <c r="Y242" s="9"/>
    </row>
    <row r="243" spans="1:25" ht="15.75" customHeight="1" x14ac:dyDescent="0.35">
      <c r="A243" s="6"/>
      <c r="E243" s="9"/>
      <c r="F243" s="9"/>
      <c r="G243" s="9"/>
      <c r="M243" s="26"/>
      <c r="N243" s="26"/>
      <c r="O243" s="9"/>
      <c r="P243" s="9"/>
      <c r="W243" s="9"/>
      <c r="X243" s="9"/>
      <c r="Y243" s="9"/>
    </row>
    <row r="244" spans="1:25" ht="15.75" customHeight="1" x14ac:dyDescent="0.35">
      <c r="A244" s="6"/>
      <c r="E244" s="9"/>
      <c r="F244" s="9"/>
      <c r="G244" s="9"/>
      <c r="M244" s="26"/>
      <c r="N244" s="26"/>
      <c r="O244" s="9"/>
      <c r="P244" s="9"/>
      <c r="W244" s="9"/>
      <c r="X244" s="9"/>
      <c r="Y244" s="9"/>
    </row>
    <row r="245" spans="1:25" ht="15.75" customHeight="1" x14ac:dyDescent="0.35">
      <c r="A245" s="6"/>
      <c r="E245" s="9"/>
      <c r="F245" s="9"/>
      <c r="G245" s="9"/>
      <c r="M245" s="26"/>
      <c r="N245" s="26"/>
      <c r="O245" s="9"/>
      <c r="P245" s="9"/>
      <c r="W245" s="9"/>
      <c r="X245" s="9"/>
      <c r="Y245" s="9"/>
    </row>
    <row r="246" spans="1:25" ht="15.75" customHeight="1" x14ac:dyDescent="0.35">
      <c r="A246" s="6"/>
      <c r="E246" s="9"/>
      <c r="F246" s="9"/>
      <c r="G246" s="9"/>
      <c r="M246" s="26"/>
      <c r="N246" s="26"/>
      <c r="O246" s="9"/>
      <c r="P246" s="9"/>
      <c r="W246" s="9"/>
      <c r="X246" s="9"/>
      <c r="Y246" s="9"/>
    </row>
    <row r="247" spans="1:25" ht="15.75" customHeight="1" x14ac:dyDescent="0.35">
      <c r="A247" s="6"/>
      <c r="E247" s="9"/>
      <c r="F247" s="9"/>
      <c r="G247" s="9"/>
      <c r="M247" s="26"/>
      <c r="N247" s="26"/>
      <c r="O247" s="9"/>
      <c r="P247" s="9"/>
      <c r="W247" s="9"/>
      <c r="X247" s="9"/>
      <c r="Y247" s="9"/>
    </row>
    <row r="248" spans="1:25" ht="15.75" customHeight="1" x14ac:dyDescent="0.35">
      <c r="A248" s="6"/>
      <c r="E248" s="9"/>
      <c r="F248" s="9"/>
      <c r="G248" s="9"/>
      <c r="M248" s="26"/>
      <c r="N248" s="26"/>
      <c r="O248" s="9"/>
      <c r="P248" s="9"/>
      <c r="W248" s="9"/>
      <c r="X248" s="9"/>
      <c r="Y248" s="9"/>
    </row>
    <row r="249" spans="1:25" ht="15.75" customHeight="1" x14ac:dyDescent="0.35">
      <c r="A249" s="6"/>
      <c r="E249" s="9"/>
      <c r="F249" s="9"/>
      <c r="G249" s="9"/>
      <c r="M249" s="26"/>
      <c r="N249" s="26"/>
      <c r="O249" s="9"/>
      <c r="P249" s="9"/>
      <c r="W249" s="9"/>
      <c r="X249" s="9"/>
      <c r="Y249" s="9"/>
    </row>
    <row r="250" spans="1:25" ht="15.75" customHeight="1" x14ac:dyDescent="0.35">
      <c r="A250" s="6"/>
      <c r="E250" s="9"/>
      <c r="F250" s="9"/>
      <c r="G250" s="9"/>
      <c r="M250" s="26"/>
      <c r="N250" s="26"/>
      <c r="O250" s="9"/>
      <c r="P250" s="9"/>
      <c r="W250" s="9"/>
      <c r="X250" s="9"/>
      <c r="Y250" s="9"/>
    </row>
    <row r="251" spans="1:25" ht="15.75" customHeight="1" x14ac:dyDescent="0.35">
      <c r="A251" s="6"/>
      <c r="E251" s="9"/>
      <c r="F251" s="9"/>
      <c r="G251" s="9"/>
      <c r="M251" s="26"/>
      <c r="N251" s="26"/>
      <c r="O251" s="9"/>
      <c r="P251" s="9"/>
      <c r="W251" s="9"/>
      <c r="X251" s="9"/>
      <c r="Y251" s="9"/>
    </row>
    <row r="252" spans="1:25" ht="15.75" customHeight="1" x14ac:dyDescent="0.35">
      <c r="A252" s="6"/>
      <c r="E252" s="9"/>
      <c r="F252" s="9"/>
      <c r="G252" s="9"/>
      <c r="M252" s="26"/>
      <c r="N252" s="26"/>
      <c r="O252" s="9"/>
      <c r="P252" s="9"/>
      <c r="W252" s="9"/>
      <c r="X252" s="9"/>
      <c r="Y252" s="9"/>
    </row>
    <row r="253" spans="1:25" ht="15.75" customHeight="1" x14ac:dyDescent="0.35">
      <c r="A253" s="6"/>
      <c r="E253" s="9"/>
      <c r="F253" s="9"/>
      <c r="G253" s="9"/>
      <c r="M253" s="26"/>
      <c r="N253" s="26"/>
      <c r="O253" s="9"/>
      <c r="P253" s="9"/>
      <c r="W253" s="9"/>
      <c r="X253" s="9"/>
      <c r="Y253" s="9"/>
    </row>
    <row r="254" spans="1:25" ht="15.75" customHeight="1" x14ac:dyDescent="0.35">
      <c r="A254" s="6"/>
      <c r="E254" s="9"/>
      <c r="F254" s="9"/>
      <c r="G254" s="9"/>
      <c r="M254" s="26"/>
      <c r="N254" s="26"/>
      <c r="O254" s="9"/>
      <c r="P254" s="9"/>
      <c r="W254" s="9"/>
      <c r="X254" s="9"/>
      <c r="Y254" s="9"/>
    </row>
    <row r="255" spans="1:25" ht="15.75" customHeight="1" x14ac:dyDescent="0.35">
      <c r="A255" s="6"/>
      <c r="E255" s="9"/>
      <c r="F255" s="9"/>
      <c r="G255" s="9"/>
      <c r="M255" s="26"/>
      <c r="N255" s="26"/>
      <c r="O255" s="9"/>
      <c r="P255" s="9"/>
      <c r="W255" s="9"/>
      <c r="X255" s="9"/>
      <c r="Y255" s="9"/>
    </row>
    <row r="256" spans="1:25" ht="15.75" customHeight="1" x14ac:dyDescent="0.35">
      <c r="A256" s="6"/>
      <c r="E256" s="9"/>
      <c r="F256" s="9"/>
      <c r="G256" s="9"/>
      <c r="M256" s="26"/>
      <c r="N256" s="26"/>
      <c r="O256" s="9"/>
      <c r="P256" s="9"/>
      <c r="W256" s="9"/>
      <c r="X256" s="9"/>
      <c r="Y256" s="9"/>
    </row>
    <row r="257" spans="1:25" ht="15.75" customHeight="1" x14ac:dyDescent="0.35">
      <c r="A257" s="6"/>
      <c r="E257" s="9"/>
      <c r="F257" s="9"/>
      <c r="G257" s="9"/>
      <c r="M257" s="26"/>
      <c r="N257" s="26"/>
      <c r="O257" s="9"/>
      <c r="P257" s="9"/>
      <c r="W257" s="9"/>
      <c r="X257" s="9"/>
      <c r="Y257" s="9"/>
    </row>
    <row r="258" spans="1:25" ht="15.75" customHeight="1" x14ac:dyDescent="0.35">
      <c r="A258" s="6"/>
      <c r="E258" s="9"/>
      <c r="F258" s="9"/>
      <c r="G258" s="9"/>
      <c r="M258" s="26"/>
      <c r="N258" s="26"/>
      <c r="O258" s="9"/>
      <c r="P258" s="9"/>
      <c r="W258" s="9"/>
      <c r="X258" s="9"/>
      <c r="Y258" s="9"/>
    </row>
    <row r="259" spans="1:25" ht="15.75" customHeight="1" x14ac:dyDescent="0.35">
      <c r="A259" s="6"/>
      <c r="E259" s="9"/>
      <c r="F259" s="9"/>
      <c r="G259" s="9"/>
      <c r="M259" s="26"/>
      <c r="N259" s="26"/>
      <c r="O259" s="9"/>
      <c r="P259" s="9"/>
      <c r="W259" s="9"/>
      <c r="X259" s="9"/>
      <c r="Y259" s="9"/>
    </row>
    <row r="260" spans="1:25" ht="15.75" customHeight="1" x14ac:dyDescent="0.35">
      <c r="A260" s="6"/>
      <c r="E260" s="9"/>
      <c r="F260" s="9"/>
      <c r="G260" s="9"/>
      <c r="M260" s="26"/>
      <c r="N260" s="26"/>
      <c r="O260" s="9"/>
      <c r="P260" s="9"/>
      <c r="W260" s="9"/>
      <c r="X260" s="9"/>
      <c r="Y260" s="9"/>
    </row>
    <row r="261" spans="1:25" ht="15.75" customHeight="1" x14ac:dyDescent="0.35">
      <c r="A261" s="6"/>
      <c r="E261" s="9"/>
      <c r="F261" s="9"/>
      <c r="G261" s="9"/>
      <c r="M261" s="26"/>
      <c r="N261" s="26"/>
      <c r="O261" s="9"/>
      <c r="P261" s="9"/>
      <c r="W261" s="9"/>
      <c r="X261" s="9"/>
      <c r="Y261" s="9"/>
    </row>
    <row r="262" spans="1:25" ht="15.75" customHeight="1" x14ac:dyDescent="0.35">
      <c r="A262" s="6"/>
      <c r="E262" s="9"/>
      <c r="F262" s="9"/>
      <c r="G262" s="9"/>
      <c r="M262" s="26"/>
      <c r="N262" s="26"/>
      <c r="O262" s="9"/>
      <c r="P262" s="9"/>
      <c r="W262" s="9"/>
      <c r="X262" s="9"/>
      <c r="Y262" s="9"/>
    </row>
    <row r="263" spans="1:25" ht="15.75" customHeight="1" x14ac:dyDescent="0.35">
      <c r="A263" s="6"/>
      <c r="E263" s="9"/>
      <c r="F263" s="9"/>
      <c r="G263" s="9"/>
      <c r="M263" s="26"/>
      <c r="N263" s="26"/>
      <c r="O263" s="9"/>
      <c r="P263" s="9"/>
      <c r="W263" s="9"/>
      <c r="X263" s="9"/>
      <c r="Y263" s="9"/>
    </row>
    <row r="264" spans="1:25" ht="15.75" customHeight="1" x14ac:dyDescent="0.35">
      <c r="A264" s="6"/>
      <c r="E264" s="9"/>
      <c r="F264" s="9"/>
      <c r="G264" s="9"/>
      <c r="M264" s="26"/>
      <c r="N264" s="26"/>
      <c r="O264" s="9"/>
      <c r="P264" s="9"/>
      <c r="W264" s="9"/>
      <c r="X264" s="9"/>
      <c r="Y264" s="9"/>
    </row>
    <row r="265" spans="1:25" ht="15.75" customHeight="1" x14ac:dyDescent="0.35">
      <c r="A265" s="6"/>
      <c r="E265" s="9"/>
      <c r="F265" s="9"/>
      <c r="G265" s="9"/>
      <c r="M265" s="26"/>
      <c r="N265" s="26"/>
      <c r="O265" s="9"/>
      <c r="P265" s="9"/>
      <c r="W265" s="9"/>
      <c r="X265" s="9"/>
      <c r="Y265" s="9"/>
    </row>
    <row r="266" spans="1:25" ht="15.75" customHeight="1" x14ac:dyDescent="0.35">
      <c r="A266" s="6"/>
      <c r="E266" s="9"/>
      <c r="F266" s="9"/>
      <c r="G266" s="9"/>
      <c r="M266" s="26"/>
      <c r="N266" s="26"/>
      <c r="O266" s="9"/>
      <c r="P266" s="9"/>
      <c r="W266" s="9"/>
      <c r="X266" s="9"/>
      <c r="Y266" s="9"/>
    </row>
    <row r="267" spans="1:25" ht="15.75" customHeight="1" x14ac:dyDescent="0.35">
      <c r="A267" s="6"/>
      <c r="E267" s="9"/>
      <c r="F267" s="9"/>
      <c r="G267" s="9"/>
      <c r="M267" s="26"/>
      <c r="N267" s="26"/>
      <c r="O267" s="9"/>
      <c r="P267" s="9"/>
      <c r="W267" s="9"/>
      <c r="X267" s="9"/>
      <c r="Y267" s="9"/>
    </row>
    <row r="268" spans="1:25" ht="15.75" customHeight="1" x14ac:dyDescent="0.35">
      <c r="A268" s="6"/>
      <c r="E268" s="9"/>
      <c r="F268" s="9"/>
      <c r="G268" s="9"/>
      <c r="M268" s="26"/>
      <c r="N268" s="26"/>
      <c r="O268" s="9"/>
      <c r="P268" s="9"/>
      <c r="W268" s="9"/>
      <c r="X268" s="9"/>
      <c r="Y268" s="9"/>
    </row>
    <row r="269" spans="1:25" ht="15.75" customHeight="1" x14ac:dyDescent="0.35">
      <c r="A269" s="6"/>
      <c r="E269" s="9"/>
      <c r="F269" s="9"/>
      <c r="G269" s="9"/>
      <c r="M269" s="26"/>
      <c r="N269" s="26"/>
      <c r="O269" s="9"/>
      <c r="P269" s="9"/>
      <c r="W269" s="9"/>
      <c r="X269" s="9"/>
      <c r="Y269" s="9"/>
    </row>
    <row r="270" spans="1:25" ht="15.75" customHeight="1" x14ac:dyDescent="0.35">
      <c r="A270" s="6"/>
      <c r="E270" s="9"/>
      <c r="F270" s="9"/>
      <c r="G270" s="9"/>
      <c r="M270" s="26"/>
      <c r="N270" s="26"/>
      <c r="O270" s="9"/>
      <c r="P270" s="9"/>
      <c r="W270" s="9"/>
      <c r="X270" s="9"/>
      <c r="Y270" s="9"/>
    </row>
    <row r="271" spans="1:25" ht="15.75" customHeight="1" x14ac:dyDescent="0.35">
      <c r="A271" s="6"/>
      <c r="E271" s="9"/>
      <c r="F271" s="9"/>
      <c r="G271" s="9"/>
      <c r="M271" s="26"/>
      <c r="N271" s="26"/>
      <c r="O271" s="9"/>
      <c r="P271" s="9"/>
      <c r="W271" s="9"/>
      <c r="X271" s="9"/>
      <c r="Y271" s="9"/>
    </row>
    <row r="272" spans="1:25" ht="15.75" customHeight="1" x14ac:dyDescent="0.35">
      <c r="A272" s="6"/>
      <c r="E272" s="9"/>
      <c r="F272" s="9"/>
      <c r="G272" s="9"/>
      <c r="M272" s="26"/>
      <c r="N272" s="26"/>
      <c r="O272" s="9"/>
      <c r="P272" s="9"/>
      <c r="W272" s="9"/>
      <c r="X272" s="9"/>
      <c r="Y272" s="9"/>
    </row>
    <row r="273" spans="1:25" ht="15.75" customHeight="1" x14ac:dyDescent="0.35">
      <c r="A273" s="6"/>
      <c r="E273" s="9"/>
      <c r="F273" s="9"/>
      <c r="G273" s="9"/>
      <c r="M273" s="26"/>
      <c r="N273" s="26"/>
      <c r="O273" s="9"/>
      <c r="P273" s="9"/>
      <c r="W273" s="9"/>
      <c r="X273" s="9"/>
      <c r="Y273" s="9"/>
    </row>
    <row r="274" spans="1:25" ht="15.75" customHeight="1" x14ac:dyDescent="0.35">
      <c r="A274" s="6"/>
      <c r="E274" s="9"/>
      <c r="F274" s="9"/>
      <c r="G274" s="9"/>
      <c r="M274" s="26"/>
      <c r="N274" s="26"/>
      <c r="O274" s="9"/>
      <c r="P274" s="9"/>
      <c r="W274" s="9"/>
      <c r="X274" s="9"/>
      <c r="Y274" s="9"/>
    </row>
    <row r="275" spans="1:25" ht="15.75" customHeight="1" x14ac:dyDescent="0.35">
      <c r="A275" s="6"/>
      <c r="E275" s="9"/>
      <c r="F275" s="9"/>
      <c r="G275" s="9"/>
      <c r="M275" s="26"/>
      <c r="N275" s="26"/>
      <c r="O275" s="9"/>
      <c r="P275" s="9"/>
      <c r="W275" s="9"/>
      <c r="X275" s="9"/>
      <c r="Y275" s="9"/>
    </row>
    <row r="276" spans="1:25" ht="15.75" customHeight="1" x14ac:dyDescent="0.35">
      <c r="A276" s="6"/>
      <c r="E276" s="9"/>
      <c r="F276" s="9"/>
      <c r="G276" s="9"/>
      <c r="M276" s="26"/>
      <c r="N276" s="26"/>
      <c r="O276" s="9"/>
      <c r="P276" s="9"/>
      <c r="W276" s="9"/>
      <c r="X276" s="9"/>
      <c r="Y276" s="9"/>
    </row>
    <row r="277" spans="1:25" ht="15.75" customHeight="1" x14ac:dyDescent="0.35">
      <c r="A277" s="6"/>
      <c r="E277" s="9"/>
      <c r="F277" s="9"/>
      <c r="G277" s="9"/>
      <c r="M277" s="26"/>
      <c r="N277" s="26"/>
      <c r="O277" s="9"/>
      <c r="P277" s="9"/>
      <c r="W277" s="9"/>
      <c r="X277" s="9"/>
      <c r="Y277" s="9"/>
    </row>
    <row r="278" spans="1:25" ht="15.75" customHeight="1" x14ac:dyDescent="0.35">
      <c r="A278" s="6"/>
      <c r="E278" s="9"/>
      <c r="F278" s="9"/>
      <c r="G278" s="9"/>
      <c r="M278" s="26"/>
      <c r="N278" s="26"/>
      <c r="O278" s="9"/>
      <c r="P278" s="9"/>
      <c r="W278" s="9"/>
      <c r="X278" s="9"/>
      <c r="Y278" s="9"/>
    </row>
    <row r="279" spans="1:25" ht="15.75" customHeight="1" x14ac:dyDescent="0.35">
      <c r="A279" s="6"/>
      <c r="E279" s="9"/>
      <c r="F279" s="9"/>
      <c r="G279" s="9"/>
      <c r="M279" s="26"/>
      <c r="N279" s="26"/>
      <c r="O279" s="9"/>
      <c r="P279" s="9"/>
      <c r="W279" s="9"/>
      <c r="X279" s="9"/>
      <c r="Y279" s="9"/>
    </row>
    <row r="280" spans="1:25" ht="15.75" customHeight="1" x14ac:dyDescent="0.35">
      <c r="A280" s="6"/>
      <c r="E280" s="9"/>
      <c r="F280" s="9"/>
      <c r="G280" s="9"/>
      <c r="M280" s="26"/>
      <c r="N280" s="26"/>
      <c r="O280" s="9"/>
      <c r="P280" s="9"/>
      <c r="W280" s="9"/>
      <c r="X280" s="9"/>
      <c r="Y280" s="9"/>
    </row>
    <row r="281" spans="1:25" ht="15.75" customHeight="1" x14ac:dyDescent="0.35">
      <c r="A281" s="6"/>
      <c r="E281" s="9"/>
      <c r="F281" s="9"/>
      <c r="G281" s="9"/>
      <c r="M281" s="26"/>
      <c r="N281" s="26"/>
      <c r="O281" s="9"/>
      <c r="P281" s="9"/>
      <c r="W281" s="9"/>
      <c r="X281" s="9"/>
      <c r="Y281" s="9"/>
    </row>
    <row r="282" spans="1:25" ht="15.75" customHeight="1" x14ac:dyDescent="0.35">
      <c r="A282" s="6"/>
      <c r="E282" s="9"/>
      <c r="F282" s="9"/>
      <c r="G282" s="9"/>
      <c r="M282" s="26"/>
      <c r="N282" s="26"/>
      <c r="O282" s="9"/>
      <c r="P282" s="9"/>
      <c r="W282" s="9"/>
      <c r="X282" s="9"/>
      <c r="Y282" s="9"/>
    </row>
    <row r="283" spans="1:25" ht="15.75" customHeight="1" x14ac:dyDescent="0.35">
      <c r="A283" s="6"/>
      <c r="E283" s="9"/>
      <c r="F283" s="9"/>
      <c r="G283" s="9"/>
      <c r="M283" s="26"/>
      <c r="N283" s="26"/>
      <c r="O283" s="9"/>
      <c r="P283" s="9"/>
      <c r="W283" s="9"/>
      <c r="X283" s="9"/>
      <c r="Y283" s="9"/>
    </row>
    <row r="284" spans="1:25" ht="15.75" customHeight="1" x14ac:dyDescent="0.35">
      <c r="A284" s="6"/>
      <c r="E284" s="9"/>
      <c r="F284" s="9"/>
      <c r="G284" s="9"/>
      <c r="M284" s="26"/>
      <c r="N284" s="26"/>
      <c r="O284" s="9"/>
      <c r="P284" s="9"/>
      <c r="W284" s="9"/>
      <c r="X284" s="9"/>
      <c r="Y284" s="9"/>
    </row>
    <row r="285" spans="1:25" ht="15.75" customHeight="1" x14ac:dyDescent="0.35">
      <c r="A285" s="6"/>
      <c r="E285" s="9"/>
      <c r="F285" s="9"/>
      <c r="G285" s="9"/>
      <c r="M285" s="26"/>
      <c r="N285" s="26"/>
      <c r="O285" s="9"/>
      <c r="P285" s="9"/>
      <c r="W285" s="9"/>
      <c r="X285" s="9"/>
      <c r="Y285" s="9"/>
    </row>
    <row r="286" spans="1:25" ht="15.75" customHeight="1" x14ac:dyDescent="0.35">
      <c r="A286" s="6"/>
      <c r="E286" s="9"/>
      <c r="F286" s="9"/>
      <c r="G286" s="9"/>
      <c r="M286" s="26"/>
      <c r="N286" s="26"/>
      <c r="O286" s="9"/>
      <c r="P286" s="9"/>
      <c r="W286" s="9"/>
      <c r="X286" s="9"/>
      <c r="Y286" s="9"/>
    </row>
    <row r="287" spans="1:25" ht="15.75" customHeight="1" x14ac:dyDescent="0.35">
      <c r="A287" s="6"/>
      <c r="E287" s="9"/>
      <c r="F287" s="9"/>
      <c r="G287" s="9"/>
      <c r="M287" s="26"/>
      <c r="N287" s="26"/>
      <c r="O287" s="9"/>
      <c r="P287" s="9"/>
      <c r="W287" s="9"/>
      <c r="X287" s="9"/>
      <c r="Y287" s="9"/>
    </row>
    <row r="288" spans="1:25" ht="15.75" customHeight="1" x14ac:dyDescent="0.35">
      <c r="A288" s="6"/>
      <c r="E288" s="9"/>
      <c r="F288" s="9"/>
      <c r="G288" s="9"/>
      <c r="M288" s="26"/>
      <c r="N288" s="26"/>
      <c r="O288" s="9"/>
      <c r="P288" s="9"/>
      <c r="W288" s="9"/>
      <c r="X288" s="9"/>
      <c r="Y288" s="9"/>
    </row>
    <row r="289" spans="1:25" ht="15.75" customHeight="1" x14ac:dyDescent="0.35">
      <c r="A289" s="6"/>
      <c r="E289" s="9"/>
      <c r="F289" s="9"/>
      <c r="G289" s="9"/>
      <c r="M289" s="26"/>
      <c r="N289" s="26"/>
      <c r="O289" s="9"/>
      <c r="P289" s="9"/>
      <c r="W289" s="9"/>
      <c r="X289" s="9"/>
      <c r="Y289" s="9"/>
    </row>
    <row r="290" spans="1:25" ht="15.75" customHeight="1" x14ac:dyDescent="0.35">
      <c r="A290" s="6"/>
      <c r="E290" s="9"/>
      <c r="F290" s="9"/>
      <c r="G290" s="9"/>
      <c r="M290" s="26"/>
      <c r="N290" s="26"/>
      <c r="O290" s="9"/>
      <c r="P290" s="9"/>
      <c r="W290" s="9"/>
      <c r="X290" s="9"/>
      <c r="Y290" s="9"/>
    </row>
    <row r="291" spans="1:25" ht="15.75" customHeight="1" x14ac:dyDescent="0.35">
      <c r="A291" s="6"/>
      <c r="E291" s="9"/>
      <c r="F291" s="9"/>
      <c r="G291" s="9"/>
      <c r="M291" s="26"/>
      <c r="N291" s="26"/>
      <c r="O291" s="9"/>
      <c r="P291" s="9"/>
      <c r="W291" s="9"/>
      <c r="X291" s="9"/>
      <c r="Y291" s="9"/>
    </row>
    <row r="292" spans="1:25" ht="15.75" customHeight="1" x14ac:dyDescent="0.35">
      <c r="A292" s="6"/>
      <c r="E292" s="9"/>
      <c r="F292" s="9"/>
      <c r="G292" s="9"/>
      <c r="M292" s="26"/>
      <c r="N292" s="26"/>
      <c r="O292" s="9"/>
      <c r="P292" s="9"/>
      <c r="W292" s="9"/>
      <c r="X292" s="9"/>
      <c r="Y292" s="9"/>
    </row>
    <row r="293" spans="1:25" ht="15.75" customHeight="1" x14ac:dyDescent="0.35">
      <c r="A293" s="6"/>
      <c r="E293" s="9"/>
      <c r="F293" s="9"/>
      <c r="G293" s="9"/>
      <c r="M293" s="26"/>
      <c r="N293" s="26"/>
      <c r="O293" s="9"/>
      <c r="P293" s="9"/>
      <c r="W293" s="9"/>
      <c r="X293" s="9"/>
      <c r="Y293" s="9"/>
    </row>
    <row r="294" spans="1:25" ht="15.75" customHeight="1" x14ac:dyDescent="0.35">
      <c r="A294" s="6"/>
      <c r="E294" s="9"/>
      <c r="F294" s="9"/>
      <c r="G294" s="9"/>
      <c r="M294" s="26"/>
      <c r="N294" s="26"/>
      <c r="O294" s="9"/>
      <c r="P294" s="9"/>
      <c r="W294" s="9"/>
      <c r="X294" s="9"/>
      <c r="Y294" s="9"/>
    </row>
    <row r="295" spans="1:25" ht="15.75" customHeight="1" x14ac:dyDescent="0.35">
      <c r="A295" s="6"/>
      <c r="E295" s="9"/>
      <c r="F295" s="9"/>
      <c r="G295" s="9"/>
      <c r="M295" s="26"/>
      <c r="N295" s="26"/>
      <c r="O295" s="9"/>
      <c r="P295" s="9"/>
      <c r="W295" s="9"/>
      <c r="X295" s="9"/>
      <c r="Y295" s="9"/>
    </row>
    <row r="296" spans="1:25" ht="15.75" customHeight="1" x14ac:dyDescent="0.35">
      <c r="A296" s="6"/>
      <c r="E296" s="9"/>
      <c r="F296" s="9"/>
      <c r="G296" s="9"/>
      <c r="M296" s="26"/>
      <c r="N296" s="26"/>
      <c r="O296" s="9"/>
      <c r="P296" s="9"/>
      <c r="W296" s="9"/>
      <c r="X296" s="9"/>
      <c r="Y296" s="9"/>
    </row>
    <row r="297" spans="1:25" ht="15.75" customHeight="1" x14ac:dyDescent="0.35">
      <c r="A297" s="6"/>
      <c r="E297" s="9"/>
      <c r="F297" s="9"/>
      <c r="G297" s="9"/>
      <c r="M297" s="26"/>
      <c r="N297" s="26"/>
      <c r="O297" s="9"/>
      <c r="P297" s="9"/>
      <c r="W297" s="9"/>
      <c r="X297" s="9"/>
      <c r="Y297" s="9"/>
    </row>
    <row r="298" spans="1:25" ht="15.75" customHeight="1" x14ac:dyDescent="0.35">
      <c r="A298" s="6"/>
      <c r="E298" s="9"/>
      <c r="F298" s="9"/>
      <c r="G298" s="9"/>
      <c r="M298" s="26"/>
      <c r="N298" s="26"/>
      <c r="O298" s="9"/>
      <c r="P298" s="9"/>
      <c r="W298" s="9"/>
      <c r="X298" s="9"/>
      <c r="Y298" s="9"/>
    </row>
    <row r="299" spans="1:25" ht="15.75" customHeight="1" x14ac:dyDescent="0.35">
      <c r="A299" s="6"/>
      <c r="E299" s="9"/>
      <c r="F299" s="9"/>
      <c r="G299" s="9"/>
      <c r="M299" s="26"/>
      <c r="N299" s="26"/>
      <c r="O299" s="9"/>
      <c r="P299" s="9"/>
      <c r="W299" s="9"/>
      <c r="X299" s="9"/>
      <c r="Y299" s="9"/>
    </row>
    <row r="300" spans="1:25" ht="15.75" customHeight="1" x14ac:dyDescent="0.35">
      <c r="A300" s="6"/>
      <c r="E300" s="9"/>
      <c r="F300" s="9"/>
      <c r="G300" s="9"/>
      <c r="M300" s="26"/>
      <c r="N300" s="26"/>
      <c r="O300" s="9"/>
      <c r="P300" s="9"/>
      <c r="W300" s="9"/>
      <c r="X300" s="9"/>
      <c r="Y300" s="9"/>
    </row>
    <row r="301" spans="1:25" ht="15.75" customHeight="1" x14ac:dyDescent="0.35">
      <c r="A301" s="6"/>
      <c r="E301" s="9"/>
      <c r="F301" s="9"/>
      <c r="G301" s="9"/>
      <c r="M301" s="26"/>
      <c r="N301" s="26"/>
      <c r="O301" s="9"/>
      <c r="P301" s="9"/>
      <c r="W301" s="9"/>
      <c r="X301" s="9"/>
      <c r="Y301" s="9"/>
    </row>
    <row r="302" spans="1:25" ht="15.75" customHeight="1" x14ac:dyDescent="0.35">
      <c r="A302" s="6"/>
      <c r="E302" s="9"/>
      <c r="F302" s="9"/>
      <c r="G302" s="9"/>
      <c r="M302" s="26"/>
      <c r="N302" s="26"/>
      <c r="O302" s="9"/>
      <c r="P302" s="9"/>
      <c r="W302" s="9"/>
      <c r="X302" s="9"/>
      <c r="Y302" s="9"/>
    </row>
    <row r="303" spans="1:25" ht="15.75" customHeight="1" x14ac:dyDescent="0.35">
      <c r="A303" s="6"/>
      <c r="E303" s="9"/>
      <c r="F303" s="9"/>
      <c r="G303" s="9"/>
      <c r="M303" s="26"/>
      <c r="N303" s="26"/>
      <c r="O303" s="9"/>
      <c r="P303" s="9"/>
      <c r="W303" s="9"/>
      <c r="X303" s="9"/>
      <c r="Y303" s="9"/>
    </row>
    <row r="304" spans="1:25" ht="15.75" customHeight="1" x14ac:dyDescent="0.35">
      <c r="A304" s="6"/>
      <c r="E304" s="9"/>
      <c r="F304" s="9"/>
      <c r="G304" s="9"/>
      <c r="M304" s="26"/>
      <c r="N304" s="26"/>
      <c r="O304" s="9"/>
      <c r="P304" s="9"/>
      <c r="W304" s="9"/>
      <c r="X304" s="9"/>
      <c r="Y304" s="9"/>
    </row>
    <row r="305" spans="1:25" ht="15.75" customHeight="1" x14ac:dyDescent="0.35">
      <c r="A305" s="6"/>
      <c r="E305" s="9"/>
      <c r="F305" s="9"/>
      <c r="G305" s="9"/>
      <c r="M305" s="26"/>
      <c r="N305" s="26"/>
      <c r="O305" s="9"/>
      <c r="P305" s="9"/>
      <c r="W305" s="9"/>
      <c r="X305" s="9"/>
      <c r="Y305" s="9"/>
    </row>
    <row r="306" spans="1:25" ht="15.75" customHeight="1" x14ac:dyDescent="0.35">
      <c r="A306" s="6"/>
      <c r="E306" s="9"/>
      <c r="F306" s="9"/>
      <c r="G306" s="9"/>
      <c r="M306" s="26"/>
      <c r="N306" s="26"/>
      <c r="O306" s="9"/>
      <c r="P306" s="9"/>
      <c r="W306" s="9"/>
      <c r="X306" s="9"/>
      <c r="Y306" s="9"/>
    </row>
    <row r="307" spans="1:25" ht="15.75" customHeight="1" x14ac:dyDescent="0.35">
      <c r="A307" s="6"/>
      <c r="E307" s="9"/>
      <c r="F307" s="9"/>
      <c r="G307" s="9"/>
      <c r="M307" s="26"/>
      <c r="N307" s="26"/>
      <c r="O307" s="9"/>
      <c r="P307" s="9"/>
      <c r="W307" s="9"/>
      <c r="X307" s="9"/>
      <c r="Y307" s="9"/>
    </row>
    <row r="308" spans="1:25" ht="15.75" customHeight="1" x14ac:dyDescent="0.35">
      <c r="A308" s="6"/>
      <c r="E308" s="9"/>
      <c r="F308" s="9"/>
      <c r="G308" s="9"/>
      <c r="M308" s="26"/>
      <c r="N308" s="26"/>
      <c r="O308" s="9"/>
      <c r="P308" s="9"/>
      <c r="W308" s="9"/>
      <c r="X308" s="9"/>
      <c r="Y308" s="9"/>
    </row>
    <row r="309" spans="1:25" ht="15.75" customHeight="1" x14ac:dyDescent="0.35">
      <c r="A309" s="6"/>
      <c r="E309" s="9"/>
      <c r="F309" s="9"/>
      <c r="G309" s="9"/>
      <c r="M309" s="26"/>
      <c r="N309" s="26"/>
      <c r="O309" s="9"/>
      <c r="P309" s="9"/>
      <c r="W309" s="9"/>
      <c r="X309" s="9"/>
      <c r="Y309" s="9"/>
    </row>
    <row r="310" spans="1:25" ht="15.75" customHeight="1" x14ac:dyDescent="0.35">
      <c r="A310" s="6"/>
      <c r="E310" s="9"/>
      <c r="F310" s="9"/>
      <c r="G310" s="9"/>
      <c r="M310" s="26"/>
      <c r="N310" s="26"/>
      <c r="O310" s="9"/>
      <c r="P310" s="9"/>
      <c r="W310" s="9"/>
      <c r="X310" s="9"/>
      <c r="Y310" s="9"/>
    </row>
    <row r="311" spans="1:25" ht="15.75" customHeight="1" x14ac:dyDescent="0.35">
      <c r="A311" s="6"/>
      <c r="E311" s="9"/>
      <c r="F311" s="9"/>
      <c r="G311" s="9"/>
      <c r="M311" s="26"/>
      <c r="N311" s="26"/>
      <c r="O311" s="9"/>
      <c r="P311" s="9"/>
      <c r="W311" s="9"/>
      <c r="X311" s="9"/>
      <c r="Y311" s="9"/>
    </row>
    <row r="312" spans="1:25" ht="15.75" customHeight="1" x14ac:dyDescent="0.35">
      <c r="A312" s="6"/>
      <c r="E312" s="9"/>
      <c r="F312" s="9"/>
      <c r="G312" s="9"/>
      <c r="M312" s="26"/>
      <c r="N312" s="26"/>
      <c r="O312" s="9"/>
      <c r="P312" s="9"/>
      <c r="W312" s="9"/>
      <c r="X312" s="9"/>
      <c r="Y312" s="9"/>
    </row>
    <row r="313" spans="1:25" ht="15.75" customHeight="1" x14ac:dyDescent="0.35">
      <c r="A313" s="6"/>
      <c r="E313" s="9"/>
      <c r="F313" s="9"/>
      <c r="G313" s="9"/>
      <c r="M313" s="26"/>
      <c r="N313" s="26"/>
      <c r="O313" s="9"/>
      <c r="P313" s="9"/>
      <c r="W313" s="9"/>
      <c r="X313" s="9"/>
      <c r="Y313" s="9"/>
    </row>
    <row r="314" spans="1:25" ht="15.75" customHeight="1" x14ac:dyDescent="0.35">
      <c r="A314" s="6"/>
      <c r="E314" s="9"/>
      <c r="F314" s="9"/>
      <c r="G314" s="9"/>
      <c r="M314" s="26"/>
      <c r="N314" s="26"/>
      <c r="O314" s="9"/>
      <c r="P314" s="9"/>
      <c r="W314" s="9"/>
      <c r="X314" s="9"/>
      <c r="Y314" s="9"/>
    </row>
    <row r="315" spans="1:25" ht="15.75" customHeight="1" x14ac:dyDescent="0.35">
      <c r="A315" s="6"/>
      <c r="E315" s="9"/>
      <c r="F315" s="9"/>
      <c r="G315" s="9"/>
      <c r="M315" s="26"/>
      <c r="N315" s="26"/>
      <c r="O315" s="9"/>
      <c r="P315" s="9"/>
      <c r="W315" s="9"/>
      <c r="X315" s="9"/>
      <c r="Y315" s="9"/>
    </row>
    <row r="316" spans="1:25" ht="15.75" customHeight="1" x14ac:dyDescent="0.35">
      <c r="A316" s="6"/>
      <c r="E316" s="9"/>
      <c r="F316" s="9"/>
      <c r="G316" s="9"/>
      <c r="M316" s="26"/>
      <c r="N316" s="26"/>
      <c r="O316" s="9"/>
      <c r="P316" s="9"/>
      <c r="W316" s="9"/>
      <c r="X316" s="9"/>
      <c r="Y316" s="9"/>
    </row>
    <row r="317" spans="1:25" ht="15.75" customHeight="1" x14ac:dyDescent="0.35">
      <c r="A317" s="6"/>
      <c r="E317" s="9"/>
      <c r="F317" s="9"/>
      <c r="G317" s="9"/>
      <c r="M317" s="26"/>
      <c r="N317" s="26"/>
      <c r="O317" s="9"/>
      <c r="P317" s="9"/>
      <c r="W317" s="9"/>
      <c r="X317" s="9"/>
      <c r="Y317" s="9"/>
    </row>
    <row r="318" spans="1:25" ht="15.75" customHeight="1" x14ac:dyDescent="0.35">
      <c r="A318" s="6"/>
      <c r="E318" s="9"/>
      <c r="F318" s="9"/>
      <c r="G318" s="9"/>
      <c r="M318" s="26"/>
      <c r="N318" s="26"/>
      <c r="O318" s="9"/>
      <c r="P318" s="9"/>
      <c r="W318" s="9"/>
      <c r="X318" s="9"/>
      <c r="Y318" s="9"/>
    </row>
    <row r="319" spans="1:25" ht="15.75" customHeight="1" x14ac:dyDescent="0.35">
      <c r="A319" s="6"/>
      <c r="E319" s="9"/>
      <c r="F319" s="9"/>
      <c r="G319" s="9"/>
      <c r="M319" s="26"/>
      <c r="N319" s="26"/>
      <c r="O319" s="9"/>
      <c r="P319" s="9"/>
      <c r="W319" s="9"/>
      <c r="X319" s="9"/>
      <c r="Y319" s="9"/>
    </row>
    <row r="320" spans="1:25" ht="15.75" customHeight="1" x14ac:dyDescent="0.35">
      <c r="A320" s="6"/>
      <c r="E320" s="9"/>
      <c r="F320" s="9"/>
      <c r="G320" s="9"/>
      <c r="M320" s="26"/>
      <c r="N320" s="26"/>
      <c r="O320" s="9"/>
      <c r="P320" s="9"/>
      <c r="W320" s="9"/>
      <c r="X320" s="9"/>
      <c r="Y320" s="9"/>
    </row>
    <row r="321" spans="1:25" ht="15.75" customHeight="1" x14ac:dyDescent="0.35">
      <c r="A321" s="6"/>
      <c r="E321" s="9"/>
      <c r="F321" s="9"/>
      <c r="G321" s="9"/>
      <c r="M321" s="26"/>
      <c r="N321" s="26"/>
      <c r="O321" s="9"/>
      <c r="P321" s="9"/>
      <c r="W321" s="9"/>
      <c r="X321" s="9"/>
      <c r="Y321" s="9"/>
    </row>
    <row r="322" spans="1:25" ht="15.75" customHeight="1" x14ac:dyDescent="0.35">
      <c r="A322" s="6"/>
      <c r="E322" s="9"/>
      <c r="F322" s="9"/>
      <c r="G322" s="9"/>
      <c r="M322" s="26"/>
      <c r="N322" s="26"/>
      <c r="O322" s="9"/>
      <c r="P322" s="9"/>
      <c r="W322" s="9"/>
      <c r="X322" s="9"/>
      <c r="Y322" s="9"/>
    </row>
    <row r="323" spans="1:25" ht="15.75" customHeight="1" x14ac:dyDescent="0.35">
      <c r="A323" s="6"/>
      <c r="E323" s="9"/>
      <c r="F323" s="9"/>
      <c r="G323" s="9"/>
      <c r="M323" s="26"/>
      <c r="N323" s="26"/>
      <c r="O323" s="9"/>
      <c r="P323" s="9"/>
      <c r="W323" s="9"/>
      <c r="X323" s="9"/>
      <c r="Y323" s="9"/>
    </row>
    <row r="324" spans="1:25" ht="15.75" customHeight="1" x14ac:dyDescent="0.35">
      <c r="A324" s="6"/>
      <c r="E324" s="9"/>
      <c r="F324" s="9"/>
      <c r="G324" s="9"/>
      <c r="M324" s="26"/>
      <c r="N324" s="26"/>
      <c r="O324" s="9"/>
      <c r="P324" s="9"/>
      <c r="W324" s="9"/>
      <c r="X324" s="9"/>
      <c r="Y324" s="9"/>
    </row>
    <row r="325" spans="1:25" ht="15.75" customHeight="1" x14ac:dyDescent="0.35">
      <c r="A325" s="6"/>
      <c r="E325" s="9"/>
      <c r="F325" s="9"/>
      <c r="G325" s="9"/>
      <c r="M325" s="26"/>
      <c r="N325" s="26"/>
      <c r="O325" s="9"/>
      <c r="P325" s="9"/>
      <c r="W325" s="9"/>
      <c r="X325" s="9"/>
      <c r="Y325" s="9"/>
    </row>
    <row r="326" spans="1:25" ht="15.75" customHeight="1" x14ac:dyDescent="0.35">
      <c r="A326" s="6"/>
      <c r="E326" s="9"/>
      <c r="F326" s="9"/>
      <c r="G326" s="9"/>
      <c r="M326" s="26"/>
      <c r="N326" s="26"/>
      <c r="O326" s="9"/>
      <c r="P326" s="9"/>
      <c r="W326" s="9"/>
      <c r="X326" s="9"/>
      <c r="Y326" s="9"/>
    </row>
    <row r="327" spans="1:25" ht="15.75" customHeight="1" x14ac:dyDescent="0.35">
      <c r="A327" s="6"/>
      <c r="E327" s="9"/>
      <c r="F327" s="9"/>
      <c r="G327" s="9"/>
      <c r="M327" s="26"/>
      <c r="N327" s="26"/>
      <c r="O327" s="9"/>
      <c r="P327" s="9"/>
      <c r="W327" s="9"/>
      <c r="X327" s="9"/>
      <c r="Y327" s="9"/>
    </row>
    <row r="328" spans="1:25" ht="15.75" customHeight="1" x14ac:dyDescent="0.35">
      <c r="A328" s="6"/>
      <c r="E328" s="9"/>
      <c r="F328" s="9"/>
      <c r="G328" s="9"/>
      <c r="M328" s="26"/>
      <c r="N328" s="26"/>
      <c r="O328" s="9"/>
      <c r="P328" s="9"/>
      <c r="W328" s="9"/>
      <c r="X328" s="9"/>
      <c r="Y328" s="9"/>
    </row>
    <row r="329" spans="1:25" ht="15.75" customHeight="1" x14ac:dyDescent="0.35">
      <c r="A329" s="6"/>
      <c r="E329" s="9"/>
      <c r="F329" s="9"/>
      <c r="G329" s="9"/>
      <c r="M329" s="26"/>
      <c r="N329" s="26"/>
      <c r="O329" s="9"/>
      <c r="P329" s="9"/>
      <c r="W329" s="9"/>
      <c r="X329" s="9"/>
      <c r="Y329" s="9"/>
    </row>
    <row r="330" spans="1:25" ht="15.75" customHeight="1" x14ac:dyDescent="0.35">
      <c r="A330" s="6"/>
      <c r="E330" s="9"/>
      <c r="F330" s="9"/>
      <c r="G330" s="9"/>
      <c r="M330" s="26"/>
      <c r="N330" s="26"/>
      <c r="O330" s="9"/>
      <c r="P330" s="9"/>
      <c r="W330" s="9"/>
      <c r="X330" s="9"/>
      <c r="Y330" s="9"/>
    </row>
    <row r="331" spans="1:25" ht="15.75" customHeight="1" x14ac:dyDescent="0.35">
      <c r="A331" s="6"/>
      <c r="E331" s="9"/>
      <c r="F331" s="9"/>
      <c r="G331" s="9"/>
      <c r="M331" s="26"/>
      <c r="N331" s="26"/>
      <c r="O331" s="9"/>
      <c r="P331" s="9"/>
      <c r="W331" s="9"/>
      <c r="X331" s="9"/>
      <c r="Y331" s="9"/>
    </row>
    <row r="332" spans="1:25" ht="15.75" customHeight="1" x14ac:dyDescent="0.35">
      <c r="A332" s="6"/>
      <c r="E332" s="9"/>
      <c r="F332" s="9"/>
      <c r="G332" s="9"/>
      <c r="M332" s="26"/>
      <c r="N332" s="26"/>
      <c r="O332" s="9"/>
      <c r="P332" s="9"/>
      <c r="W332" s="9"/>
      <c r="X332" s="9"/>
      <c r="Y332" s="9"/>
    </row>
    <row r="333" spans="1:25" ht="15.75" customHeight="1" x14ac:dyDescent="0.35">
      <c r="A333" s="6"/>
      <c r="E333" s="9"/>
      <c r="F333" s="9"/>
      <c r="G333" s="9"/>
      <c r="M333" s="26"/>
      <c r="N333" s="26"/>
      <c r="O333" s="9"/>
      <c r="P333" s="9"/>
      <c r="W333" s="9"/>
      <c r="X333" s="9"/>
      <c r="Y333" s="9"/>
    </row>
    <row r="334" spans="1:25" ht="15.75" customHeight="1" x14ac:dyDescent="0.35">
      <c r="A334" s="6"/>
      <c r="E334" s="9"/>
      <c r="F334" s="9"/>
      <c r="G334" s="9"/>
      <c r="M334" s="26"/>
      <c r="N334" s="26"/>
      <c r="O334" s="9"/>
      <c r="P334" s="9"/>
      <c r="W334" s="9"/>
      <c r="X334" s="9"/>
      <c r="Y334" s="9"/>
    </row>
    <row r="335" spans="1:25" ht="15.75" customHeight="1" x14ac:dyDescent="0.35">
      <c r="A335" s="6"/>
      <c r="E335" s="9"/>
      <c r="F335" s="9"/>
      <c r="G335" s="9"/>
      <c r="M335" s="26"/>
      <c r="N335" s="26"/>
      <c r="O335" s="9"/>
      <c r="P335" s="9"/>
      <c r="W335" s="9"/>
      <c r="X335" s="9"/>
      <c r="Y335" s="9"/>
    </row>
    <row r="336" spans="1:25" ht="15.75" customHeight="1" x14ac:dyDescent="0.35">
      <c r="A336" s="6"/>
      <c r="E336" s="9"/>
      <c r="F336" s="9"/>
      <c r="G336" s="9"/>
      <c r="M336" s="26"/>
      <c r="N336" s="26"/>
      <c r="O336" s="9"/>
      <c r="P336" s="9"/>
      <c r="W336" s="9"/>
      <c r="X336" s="9"/>
      <c r="Y336" s="9"/>
    </row>
    <row r="337" spans="1:25" ht="15.75" customHeight="1" x14ac:dyDescent="0.35">
      <c r="A337" s="6"/>
      <c r="E337" s="9"/>
      <c r="F337" s="9"/>
      <c r="G337" s="9"/>
      <c r="M337" s="26"/>
      <c r="N337" s="26"/>
      <c r="O337" s="9"/>
      <c r="P337" s="9"/>
      <c r="W337" s="9"/>
      <c r="X337" s="9"/>
      <c r="Y337" s="9"/>
    </row>
    <row r="338" spans="1:25" ht="15.75" customHeight="1" x14ac:dyDescent="0.35">
      <c r="A338" s="6"/>
      <c r="E338" s="9"/>
      <c r="F338" s="9"/>
      <c r="G338" s="9"/>
      <c r="M338" s="26"/>
      <c r="N338" s="26"/>
      <c r="O338" s="9"/>
      <c r="P338" s="9"/>
      <c r="W338" s="9"/>
      <c r="X338" s="9"/>
      <c r="Y338" s="9"/>
    </row>
    <row r="339" spans="1:25" ht="15.75" customHeight="1" x14ac:dyDescent="0.35">
      <c r="A339" s="6"/>
      <c r="E339" s="9"/>
      <c r="F339" s="9"/>
      <c r="G339" s="9"/>
      <c r="M339" s="26"/>
      <c r="N339" s="26"/>
      <c r="O339" s="9"/>
      <c r="P339" s="9"/>
      <c r="W339" s="9"/>
      <c r="X339" s="9"/>
      <c r="Y339" s="9"/>
    </row>
    <row r="340" spans="1:25" ht="15.75" customHeight="1" x14ac:dyDescent="0.35">
      <c r="A340" s="6"/>
      <c r="E340" s="9"/>
      <c r="F340" s="9"/>
      <c r="G340" s="9"/>
      <c r="M340" s="26"/>
      <c r="N340" s="26"/>
      <c r="O340" s="9"/>
      <c r="P340" s="9"/>
      <c r="W340" s="9"/>
      <c r="X340" s="9"/>
      <c r="Y340" s="9"/>
    </row>
    <row r="341" spans="1:25" ht="15.75" customHeight="1" x14ac:dyDescent="0.35">
      <c r="A341" s="6"/>
      <c r="E341" s="9"/>
      <c r="F341" s="9"/>
      <c r="G341" s="9"/>
      <c r="M341" s="26"/>
      <c r="N341" s="26"/>
      <c r="O341" s="9"/>
      <c r="P341" s="9"/>
      <c r="W341" s="9"/>
      <c r="X341" s="9"/>
      <c r="Y341" s="9"/>
    </row>
    <row r="342" spans="1:25" ht="15.75" customHeight="1" x14ac:dyDescent="0.35">
      <c r="A342" s="6"/>
      <c r="E342" s="9"/>
      <c r="F342" s="9"/>
      <c r="G342" s="9"/>
      <c r="M342" s="26"/>
      <c r="N342" s="26"/>
      <c r="O342" s="9"/>
      <c r="P342" s="9"/>
      <c r="W342" s="9"/>
      <c r="X342" s="9"/>
      <c r="Y342" s="9"/>
    </row>
    <row r="343" spans="1:25" ht="15.75" customHeight="1" x14ac:dyDescent="0.35">
      <c r="A343" s="6"/>
      <c r="E343" s="9"/>
      <c r="F343" s="9"/>
      <c r="G343" s="9"/>
      <c r="M343" s="26"/>
      <c r="N343" s="26"/>
      <c r="O343" s="9"/>
      <c r="P343" s="9"/>
      <c r="W343" s="9"/>
      <c r="X343" s="9"/>
      <c r="Y343" s="9"/>
    </row>
    <row r="344" spans="1:25" ht="15.75" customHeight="1" x14ac:dyDescent="0.35">
      <c r="A344" s="6"/>
      <c r="E344" s="9"/>
      <c r="F344" s="9"/>
      <c r="G344" s="9"/>
      <c r="M344" s="26"/>
      <c r="N344" s="26"/>
      <c r="O344" s="9"/>
      <c r="P344" s="9"/>
      <c r="W344" s="9"/>
      <c r="X344" s="9"/>
      <c r="Y344" s="9"/>
    </row>
    <row r="345" spans="1:25" ht="15.75" customHeight="1" x14ac:dyDescent="0.35">
      <c r="A345" s="6"/>
      <c r="E345" s="9"/>
      <c r="F345" s="9"/>
      <c r="G345" s="9"/>
      <c r="M345" s="26"/>
      <c r="N345" s="26"/>
      <c r="O345" s="9"/>
      <c r="P345" s="9"/>
      <c r="W345" s="9"/>
      <c r="X345" s="9"/>
      <c r="Y345" s="9"/>
    </row>
    <row r="346" spans="1:25" ht="15.75" customHeight="1" x14ac:dyDescent="0.35">
      <c r="A346" s="6"/>
      <c r="E346" s="9"/>
      <c r="F346" s="9"/>
      <c r="G346" s="9"/>
      <c r="M346" s="26"/>
      <c r="N346" s="26"/>
      <c r="O346" s="9"/>
      <c r="P346" s="9"/>
      <c r="W346" s="9"/>
      <c r="X346" s="9"/>
      <c r="Y346" s="9"/>
    </row>
    <row r="347" spans="1:25" ht="15.75" customHeight="1" x14ac:dyDescent="0.35">
      <c r="A347" s="6"/>
      <c r="E347" s="9"/>
      <c r="F347" s="9"/>
      <c r="G347" s="9"/>
      <c r="M347" s="26"/>
      <c r="N347" s="26"/>
      <c r="O347" s="9"/>
      <c r="P347" s="9"/>
      <c r="W347" s="9"/>
      <c r="X347" s="9"/>
      <c r="Y347" s="9"/>
    </row>
    <row r="348" spans="1:25" ht="15.75" customHeight="1" x14ac:dyDescent="0.35">
      <c r="A348" s="6"/>
      <c r="E348" s="9"/>
      <c r="F348" s="9"/>
      <c r="G348" s="9"/>
      <c r="M348" s="26"/>
      <c r="N348" s="26"/>
      <c r="O348" s="9"/>
      <c r="P348" s="9"/>
      <c r="W348" s="9"/>
      <c r="X348" s="9"/>
      <c r="Y348" s="9"/>
    </row>
    <row r="349" spans="1:25" ht="15.75" customHeight="1" x14ac:dyDescent="0.35">
      <c r="A349" s="6"/>
      <c r="E349" s="9"/>
      <c r="F349" s="9"/>
      <c r="G349" s="9"/>
      <c r="M349" s="26"/>
      <c r="N349" s="26"/>
      <c r="O349" s="9"/>
      <c r="P349" s="9"/>
      <c r="W349" s="9"/>
      <c r="X349" s="9"/>
      <c r="Y349" s="9"/>
    </row>
    <row r="350" spans="1:25" ht="15.75" customHeight="1" x14ac:dyDescent="0.35">
      <c r="A350" s="6"/>
      <c r="E350" s="9"/>
      <c r="F350" s="9"/>
      <c r="G350" s="9"/>
      <c r="M350" s="26"/>
      <c r="N350" s="26"/>
      <c r="O350" s="9"/>
      <c r="P350" s="9"/>
      <c r="W350" s="9"/>
      <c r="X350" s="9"/>
      <c r="Y350" s="9"/>
    </row>
    <row r="351" spans="1:25" ht="15.75" customHeight="1" x14ac:dyDescent="0.35">
      <c r="A351" s="6"/>
      <c r="E351" s="9"/>
      <c r="F351" s="9"/>
      <c r="G351" s="9"/>
      <c r="M351" s="26"/>
      <c r="N351" s="26"/>
      <c r="O351" s="9"/>
      <c r="P351" s="9"/>
      <c r="W351" s="9"/>
      <c r="X351" s="9"/>
      <c r="Y351" s="9"/>
    </row>
    <row r="352" spans="1:25" ht="15.75" customHeight="1" x14ac:dyDescent="0.35">
      <c r="A352" s="6"/>
      <c r="E352" s="9"/>
      <c r="F352" s="9"/>
      <c r="G352" s="9"/>
      <c r="M352" s="26"/>
      <c r="N352" s="26"/>
      <c r="O352" s="9"/>
      <c r="P352" s="9"/>
      <c r="W352" s="9"/>
      <c r="X352" s="9"/>
      <c r="Y352" s="9"/>
    </row>
    <row r="353" spans="1:25" ht="15.75" customHeight="1" x14ac:dyDescent="0.35">
      <c r="A353" s="6"/>
      <c r="E353" s="9"/>
      <c r="F353" s="9"/>
      <c r="G353" s="9"/>
      <c r="M353" s="26"/>
      <c r="N353" s="26"/>
      <c r="O353" s="9"/>
      <c r="P353" s="9"/>
      <c r="W353" s="9"/>
      <c r="X353" s="9"/>
      <c r="Y353" s="9"/>
    </row>
    <row r="354" spans="1:25" ht="15.75" customHeight="1" x14ac:dyDescent="0.35">
      <c r="A354" s="6"/>
      <c r="E354" s="9"/>
      <c r="F354" s="9"/>
      <c r="G354" s="9"/>
      <c r="M354" s="26"/>
      <c r="N354" s="26"/>
      <c r="O354" s="9"/>
      <c r="P354" s="9"/>
      <c r="W354" s="9"/>
      <c r="X354" s="9"/>
      <c r="Y354" s="9"/>
    </row>
    <row r="355" spans="1:25" ht="15.75" customHeight="1" x14ac:dyDescent="0.35">
      <c r="A355" s="6"/>
      <c r="E355" s="9"/>
      <c r="F355" s="9"/>
      <c r="G355" s="9"/>
      <c r="M355" s="26"/>
      <c r="N355" s="26"/>
      <c r="O355" s="9"/>
      <c r="P355" s="9"/>
      <c r="W355" s="9"/>
      <c r="X355" s="9"/>
      <c r="Y355" s="9"/>
    </row>
    <row r="356" spans="1:25" ht="15.75" customHeight="1" x14ac:dyDescent="0.35">
      <c r="A356" s="6"/>
      <c r="E356" s="9"/>
      <c r="F356" s="9"/>
      <c r="G356" s="9"/>
      <c r="M356" s="26"/>
      <c r="N356" s="26"/>
      <c r="O356" s="9"/>
      <c r="P356" s="9"/>
      <c r="W356" s="9"/>
      <c r="X356" s="9"/>
      <c r="Y356" s="9"/>
    </row>
    <row r="357" spans="1:25" ht="15.75" customHeight="1" x14ac:dyDescent="0.35">
      <c r="A357" s="6"/>
      <c r="E357" s="9"/>
      <c r="F357" s="9"/>
      <c r="G357" s="9"/>
      <c r="M357" s="26"/>
      <c r="N357" s="26"/>
      <c r="O357" s="9"/>
      <c r="P357" s="9"/>
      <c r="W357" s="9"/>
      <c r="X357" s="9"/>
      <c r="Y357" s="9"/>
    </row>
    <row r="358" spans="1:25" ht="15.75" customHeight="1" x14ac:dyDescent="0.35">
      <c r="A358" s="6"/>
      <c r="E358" s="9"/>
      <c r="F358" s="9"/>
      <c r="G358" s="9"/>
      <c r="M358" s="26"/>
      <c r="N358" s="26"/>
      <c r="O358" s="9"/>
      <c r="P358" s="9"/>
      <c r="W358" s="9"/>
      <c r="X358" s="9"/>
      <c r="Y358" s="9"/>
    </row>
    <row r="359" spans="1:25" ht="15.75" customHeight="1" x14ac:dyDescent="0.35">
      <c r="A359" s="6"/>
      <c r="E359" s="9"/>
      <c r="F359" s="9"/>
      <c r="G359" s="9"/>
      <c r="M359" s="26"/>
      <c r="N359" s="26"/>
      <c r="O359" s="9"/>
      <c r="P359" s="9"/>
      <c r="W359" s="9"/>
      <c r="X359" s="9"/>
      <c r="Y359" s="9"/>
    </row>
    <row r="360" spans="1:25" ht="15.75" customHeight="1" x14ac:dyDescent="0.35">
      <c r="A360" s="6"/>
      <c r="E360" s="9"/>
      <c r="F360" s="9"/>
      <c r="G360" s="9"/>
      <c r="M360" s="26"/>
      <c r="N360" s="26"/>
      <c r="O360" s="9"/>
      <c r="P360" s="9"/>
      <c r="W360" s="9"/>
      <c r="X360" s="9"/>
      <c r="Y360" s="9"/>
    </row>
    <row r="361" spans="1:25" ht="15.75" customHeight="1" x14ac:dyDescent="0.35">
      <c r="A361" s="6"/>
      <c r="E361" s="9"/>
      <c r="F361" s="9"/>
      <c r="G361" s="9"/>
      <c r="M361" s="26"/>
      <c r="N361" s="26"/>
      <c r="O361" s="9"/>
      <c r="P361" s="9"/>
      <c r="W361" s="9"/>
      <c r="X361" s="9"/>
      <c r="Y361" s="9"/>
    </row>
    <row r="362" spans="1:25" ht="15.75" customHeight="1" x14ac:dyDescent="0.35">
      <c r="A362" s="6"/>
      <c r="E362" s="9"/>
      <c r="F362" s="9"/>
      <c r="G362" s="9"/>
      <c r="M362" s="26"/>
      <c r="N362" s="26"/>
      <c r="O362" s="9"/>
      <c r="P362" s="9"/>
      <c r="W362" s="9"/>
      <c r="X362" s="9"/>
      <c r="Y362" s="9"/>
    </row>
    <row r="363" spans="1:25" ht="15.75" customHeight="1" x14ac:dyDescent="0.35">
      <c r="A363" s="6"/>
      <c r="E363" s="9"/>
      <c r="F363" s="9"/>
      <c r="G363" s="9"/>
      <c r="M363" s="26"/>
      <c r="N363" s="26"/>
      <c r="O363" s="9"/>
      <c r="P363" s="9"/>
      <c r="W363" s="9"/>
      <c r="X363" s="9"/>
      <c r="Y363" s="9"/>
    </row>
    <row r="364" spans="1:25" ht="15.75" customHeight="1" x14ac:dyDescent="0.35">
      <c r="A364" s="6"/>
      <c r="E364" s="9"/>
      <c r="F364" s="9"/>
      <c r="G364" s="9"/>
      <c r="M364" s="26"/>
      <c r="N364" s="26"/>
      <c r="O364" s="9"/>
      <c r="P364" s="9"/>
      <c r="W364" s="9"/>
      <c r="X364" s="9"/>
      <c r="Y364" s="9"/>
    </row>
    <row r="365" spans="1:25" ht="15.75" customHeight="1" x14ac:dyDescent="0.35">
      <c r="A365" s="6"/>
      <c r="E365" s="9"/>
      <c r="F365" s="9"/>
      <c r="G365" s="9"/>
      <c r="M365" s="26"/>
      <c r="N365" s="26"/>
      <c r="O365" s="9"/>
      <c r="P365" s="9"/>
      <c r="W365" s="9"/>
      <c r="X365" s="9"/>
      <c r="Y365" s="9"/>
    </row>
    <row r="366" spans="1:25" ht="15.75" customHeight="1" x14ac:dyDescent="0.35">
      <c r="A366" s="6"/>
      <c r="E366" s="9"/>
      <c r="F366" s="9"/>
      <c r="G366" s="9"/>
      <c r="M366" s="26"/>
      <c r="N366" s="26"/>
      <c r="O366" s="9"/>
      <c r="P366" s="9"/>
      <c r="W366" s="9"/>
      <c r="X366" s="9"/>
      <c r="Y366" s="9"/>
    </row>
    <row r="367" spans="1:25" ht="15.75" customHeight="1" x14ac:dyDescent="0.35">
      <c r="A367" s="6"/>
      <c r="E367" s="9"/>
      <c r="F367" s="9"/>
      <c r="G367" s="9"/>
      <c r="M367" s="26"/>
      <c r="N367" s="26"/>
      <c r="O367" s="9"/>
      <c r="P367" s="9"/>
      <c r="W367" s="9"/>
      <c r="X367" s="9"/>
      <c r="Y367" s="9"/>
    </row>
    <row r="368" spans="1:25" ht="15.75" customHeight="1" x14ac:dyDescent="0.35">
      <c r="A368" s="6"/>
      <c r="E368" s="9"/>
      <c r="F368" s="9"/>
      <c r="G368" s="9"/>
      <c r="M368" s="26"/>
      <c r="N368" s="26"/>
      <c r="O368" s="9"/>
      <c r="P368" s="9"/>
      <c r="W368" s="9"/>
      <c r="X368" s="9"/>
      <c r="Y368" s="9"/>
    </row>
    <row r="369" spans="1:25" ht="15.75" customHeight="1" x14ac:dyDescent="0.35">
      <c r="A369" s="6"/>
      <c r="E369" s="9"/>
      <c r="F369" s="9"/>
      <c r="G369" s="9"/>
      <c r="M369" s="26"/>
      <c r="N369" s="26"/>
      <c r="O369" s="9"/>
      <c r="P369" s="9"/>
      <c r="W369" s="9"/>
      <c r="X369" s="9"/>
      <c r="Y369" s="9"/>
    </row>
    <row r="370" spans="1:25" ht="15.75" customHeight="1" x14ac:dyDescent="0.35">
      <c r="A370" s="6"/>
      <c r="E370" s="9"/>
      <c r="F370" s="9"/>
      <c r="G370" s="9"/>
      <c r="M370" s="26"/>
      <c r="N370" s="26"/>
      <c r="O370" s="9"/>
      <c r="P370" s="9"/>
      <c r="W370" s="9"/>
      <c r="X370" s="9"/>
      <c r="Y370" s="9"/>
    </row>
    <row r="371" spans="1:25" ht="15.75" customHeight="1" x14ac:dyDescent="0.35">
      <c r="A371" s="6"/>
      <c r="E371" s="9"/>
      <c r="F371" s="9"/>
      <c r="G371" s="9"/>
      <c r="M371" s="26"/>
      <c r="N371" s="26"/>
      <c r="O371" s="9"/>
      <c r="P371" s="9"/>
      <c r="W371" s="9"/>
      <c r="X371" s="9"/>
      <c r="Y371" s="9"/>
    </row>
    <row r="372" spans="1:25" ht="15.75" customHeight="1" x14ac:dyDescent="0.35">
      <c r="A372" s="6"/>
      <c r="E372" s="9"/>
      <c r="F372" s="9"/>
      <c r="G372" s="9"/>
      <c r="M372" s="26"/>
      <c r="N372" s="26"/>
      <c r="O372" s="9"/>
      <c r="P372" s="9"/>
      <c r="W372" s="9"/>
      <c r="X372" s="9"/>
      <c r="Y372" s="9"/>
    </row>
    <row r="373" spans="1:25" ht="15.75" customHeight="1" x14ac:dyDescent="0.35">
      <c r="A373" s="6"/>
      <c r="E373" s="9"/>
      <c r="F373" s="9"/>
      <c r="G373" s="9"/>
      <c r="M373" s="26"/>
      <c r="N373" s="26"/>
      <c r="O373" s="9"/>
      <c r="P373" s="9"/>
      <c r="W373" s="9"/>
      <c r="X373" s="9"/>
      <c r="Y373" s="9"/>
    </row>
    <row r="374" spans="1:25" ht="15.75" customHeight="1" x14ac:dyDescent="0.35">
      <c r="A374" s="6"/>
      <c r="E374" s="9"/>
      <c r="F374" s="9"/>
      <c r="G374" s="9"/>
      <c r="M374" s="26"/>
      <c r="N374" s="26"/>
      <c r="O374" s="9"/>
      <c r="P374" s="9"/>
      <c r="W374" s="9"/>
      <c r="X374" s="9"/>
      <c r="Y374" s="9"/>
    </row>
    <row r="375" spans="1:25" ht="15.75" customHeight="1" x14ac:dyDescent="0.35">
      <c r="A375" s="6"/>
      <c r="E375" s="9"/>
      <c r="F375" s="9"/>
      <c r="G375" s="9"/>
      <c r="M375" s="26"/>
      <c r="N375" s="26"/>
      <c r="O375" s="9"/>
      <c r="P375" s="9"/>
      <c r="W375" s="9"/>
      <c r="X375" s="9"/>
      <c r="Y375" s="9"/>
    </row>
    <row r="376" spans="1:25" ht="15.75" customHeight="1" x14ac:dyDescent="0.35">
      <c r="A376" s="6"/>
      <c r="E376" s="9"/>
      <c r="F376" s="9"/>
      <c r="G376" s="9"/>
      <c r="M376" s="26"/>
      <c r="N376" s="26"/>
      <c r="O376" s="9"/>
      <c r="P376" s="9"/>
      <c r="W376" s="9"/>
      <c r="X376" s="9"/>
      <c r="Y376" s="9"/>
    </row>
    <row r="377" spans="1:25" ht="15.75" customHeight="1" x14ac:dyDescent="0.35">
      <c r="A377" s="6"/>
      <c r="E377" s="9"/>
      <c r="F377" s="9"/>
      <c r="G377" s="9"/>
      <c r="M377" s="26"/>
      <c r="N377" s="26"/>
      <c r="O377" s="9"/>
      <c r="P377" s="9"/>
      <c r="W377" s="9"/>
      <c r="X377" s="9"/>
      <c r="Y377" s="9"/>
    </row>
    <row r="378" spans="1:25" ht="15.75" customHeight="1" x14ac:dyDescent="0.35">
      <c r="A378" s="6"/>
      <c r="E378" s="9"/>
      <c r="F378" s="9"/>
      <c r="G378" s="9"/>
      <c r="M378" s="26"/>
      <c r="N378" s="26"/>
      <c r="O378" s="9"/>
      <c r="P378" s="9"/>
      <c r="W378" s="9"/>
      <c r="X378" s="9"/>
      <c r="Y378" s="9"/>
    </row>
    <row r="379" spans="1:25" ht="15.75" customHeight="1" x14ac:dyDescent="0.35">
      <c r="A379" s="6"/>
      <c r="E379" s="9"/>
      <c r="F379" s="9"/>
      <c r="G379" s="9"/>
      <c r="M379" s="26"/>
      <c r="N379" s="26"/>
      <c r="O379" s="9"/>
      <c r="P379" s="9"/>
      <c r="W379" s="9"/>
      <c r="X379" s="9"/>
      <c r="Y379" s="9"/>
    </row>
    <row r="380" spans="1:25" ht="15.75" customHeight="1" x14ac:dyDescent="0.35">
      <c r="A380" s="6"/>
      <c r="E380" s="9"/>
      <c r="F380" s="9"/>
      <c r="G380" s="9"/>
      <c r="M380" s="26"/>
      <c r="N380" s="26"/>
      <c r="O380" s="9"/>
      <c r="P380" s="9"/>
      <c r="W380" s="9"/>
      <c r="X380" s="9"/>
      <c r="Y380" s="9"/>
    </row>
    <row r="381" spans="1:25" ht="15.75" customHeight="1" x14ac:dyDescent="0.35">
      <c r="A381" s="6"/>
      <c r="E381" s="9"/>
      <c r="F381" s="9"/>
      <c r="G381" s="9"/>
      <c r="M381" s="26"/>
      <c r="N381" s="26"/>
      <c r="O381" s="9"/>
      <c r="P381" s="9"/>
      <c r="W381" s="9"/>
      <c r="X381" s="9"/>
      <c r="Y381" s="9"/>
    </row>
    <row r="382" spans="1:25" ht="15.75" customHeight="1" x14ac:dyDescent="0.35">
      <c r="A382" s="6"/>
      <c r="E382" s="9"/>
      <c r="F382" s="9"/>
      <c r="G382" s="9"/>
      <c r="M382" s="26"/>
      <c r="N382" s="26"/>
      <c r="O382" s="9"/>
      <c r="P382" s="9"/>
      <c r="W382" s="9"/>
      <c r="X382" s="9"/>
      <c r="Y382" s="9"/>
    </row>
    <row r="383" spans="1:25" ht="15.75" customHeight="1" x14ac:dyDescent="0.35">
      <c r="A383" s="6"/>
      <c r="E383" s="9"/>
      <c r="F383" s="9"/>
      <c r="G383" s="9"/>
      <c r="M383" s="26"/>
      <c r="N383" s="26"/>
      <c r="O383" s="9"/>
      <c r="P383" s="9"/>
      <c r="W383" s="9"/>
      <c r="X383" s="9"/>
      <c r="Y383" s="9"/>
    </row>
    <row r="384" spans="1:25" ht="15.75" customHeight="1" x14ac:dyDescent="0.35">
      <c r="A384" s="6"/>
      <c r="E384" s="9"/>
      <c r="F384" s="9"/>
      <c r="G384" s="9"/>
      <c r="M384" s="26"/>
      <c r="N384" s="26"/>
      <c r="O384" s="9"/>
      <c r="P384" s="9"/>
      <c r="W384" s="9"/>
      <c r="X384" s="9"/>
      <c r="Y384" s="9"/>
    </row>
    <row r="385" spans="1:25" ht="15.75" customHeight="1" x14ac:dyDescent="0.35">
      <c r="A385" s="6"/>
      <c r="E385" s="9"/>
      <c r="F385" s="9"/>
      <c r="G385" s="9"/>
      <c r="M385" s="26"/>
      <c r="N385" s="26"/>
      <c r="O385" s="9"/>
      <c r="P385" s="9"/>
      <c r="W385" s="9"/>
      <c r="X385" s="9"/>
      <c r="Y385" s="9"/>
    </row>
    <row r="386" spans="1:25" ht="15.75" customHeight="1" x14ac:dyDescent="0.35">
      <c r="A386" s="6"/>
      <c r="E386" s="9"/>
      <c r="F386" s="9"/>
      <c r="G386" s="9"/>
      <c r="M386" s="26"/>
      <c r="N386" s="26"/>
      <c r="O386" s="9"/>
      <c r="P386" s="9"/>
      <c r="W386" s="9"/>
      <c r="X386" s="9"/>
      <c r="Y386" s="9"/>
    </row>
    <row r="387" spans="1:25" ht="15.75" customHeight="1" x14ac:dyDescent="0.35">
      <c r="A387" s="6"/>
      <c r="E387" s="9"/>
      <c r="F387" s="9"/>
      <c r="G387" s="9"/>
      <c r="M387" s="26"/>
      <c r="N387" s="26"/>
      <c r="O387" s="9"/>
      <c r="P387" s="9"/>
      <c r="W387" s="9"/>
      <c r="X387" s="9"/>
      <c r="Y387" s="9"/>
    </row>
    <row r="388" spans="1:25" ht="15.75" customHeight="1" x14ac:dyDescent="0.35">
      <c r="A388" s="6"/>
      <c r="E388" s="9"/>
      <c r="F388" s="9"/>
      <c r="G388" s="9"/>
      <c r="M388" s="26"/>
      <c r="N388" s="26"/>
      <c r="O388" s="9"/>
      <c r="P388" s="9"/>
      <c r="W388" s="9"/>
      <c r="X388" s="9"/>
      <c r="Y388" s="9"/>
    </row>
    <row r="389" spans="1:25" ht="15.75" customHeight="1" x14ac:dyDescent="0.35">
      <c r="A389" s="6"/>
      <c r="E389" s="9"/>
      <c r="F389" s="9"/>
      <c r="G389" s="9"/>
      <c r="M389" s="26"/>
      <c r="N389" s="26"/>
      <c r="O389" s="9"/>
      <c r="P389" s="9"/>
      <c r="W389" s="9"/>
      <c r="X389" s="9"/>
      <c r="Y389" s="9"/>
    </row>
    <row r="390" spans="1:25" ht="15.75" customHeight="1" x14ac:dyDescent="0.35">
      <c r="A390" s="6"/>
      <c r="E390" s="9"/>
      <c r="F390" s="9"/>
      <c r="G390" s="9"/>
      <c r="M390" s="26"/>
      <c r="N390" s="26"/>
      <c r="O390" s="9"/>
      <c r="P390" s="9"/>
      <c r="W390" s="9"/>
      <c r="X390" s="9"/>
      <c r="Y390" s="9"/>
    </row>
    <row r="391" spans="1:25" ht="15.75" customHeight="1" x14ac:dyDescent="0.35">
      <c r="A391" s="6"/>
      <c r="E391" s="9"/>
      <c r="F391" s="9"/>
      <c r="G391" s="9"/>
      <c r="M391" s="26"/>
      <c r="N391" s="26"/>
      <c r="O391" s="9"/>
      <c r="P391" s="9"/>
      <c r="W391" s="9"/>
      <c r="X391" s="9"/>
      <c r="Y391" s="9"/>
    </row>
    <row r="392" spans="1:25" ht="15.75" customHeight="1" x14ac:dyDescent="0.35">
      <c r="A392" s="6"/>
      <c r="E392" s="9"/>
      <c r="F392" s="9"/>
      <c r="G392" s="9"/>
      <c r="M392" s="26"/>
      <c r="N392" s="26"/>
      <c r="O392" s="9"/>
      <c r="P392" s="9"/>
      <c r="W392" s="9"/>
      <c r="X392" s="9"/>
      <c r="Y392" s="9"/>
    </row>
    <row r="393" spans="1:25" ht="15.75" customHeight="1" x14ac:dyDescent="0.35">
      <c r="A393" s="6"/>
      <c r="E393" s="9"/>
      <c r="F393" s="9"/>
      <c r="G393" s="9"/>
      <c r="M393" s="26"/>
      <c r="N393" s="26"/>
      <c r="O393" s="9"/>
      <c r="P393" s="9"/>
      <c r="W393" s="9"/>
      <c r="X393" s="9"/>
      <c r="Y393" s="9"/>
    </row>
    <row r="394" spans="1:25" ht="15.75" customHeight="1" x14ac:dyDescent="0.35">
      <c r="A394" s="6"/>
      <c r="E394" s="9"/>
      <c r="F394" s="9"/>
      <c r="G394" s="9"/>
      <c r="M394" s="26"/>
      <c r="N394" s="26"/>
      <c r="O394" s="9"/>
      <c r="P394" s="9"/>
      <c r="W394" s="9"/>
      <c r="X394" s="9"/>
      <c r="Y394" s="9"/>
    </row>
    <row r="395" spans="1:25" ht="15.75" customHeight="1" x14ac:dyDescent="0.35">
      <c r="A395" s="6"/>
      <c r="E395" s="9"/>
      <c r="F395" s="9"/>
      <c r="G395" s="9"/>
      <c r="M395" s="26"/>
      <c r="N395" s="26"/>
      <c r="O395" s="9"/>
      <c r="P395" s="9"/>
      <c r="W395" s="9"/>
      <c r="X395" s="9"/>
      <c r="Y395" s="9"/>
    </row>
    <row r="396" spans="1:25" ht="15.75" customHeight="1" x14ac:dyDescent="0.35">
      <c r="A396" s="6"/>
      <c r="E396" s="9"/>
      <c r="F396" s="9"/>
      <c r="G396" s="9"/>
      <c r="M396" s="26"/>
      <c r="N396" s="26"/>
      <c r="O396" s="9"/>
      <c r="P396" s="9"/>
      <c r="W396" s="9"/>
      <c r="X396" s="9"/>
      <c r="Y396" s="9"/>
    </row>
    <row r="397" spans="1:25" ht="15.75" customHeight="1" x14ac:dyDescent="0.35">
      <c r="A397" s="6"/>
      <c r="E397" s="9"/>
      <c r="F397" s="9"/>
      <c r="G397" s="9"/>
      <c r="M397" s="26"/>
      <c r="N397" s="26"/>
      <c r="O397" s="9"/>
      <c r="P397" s="9"/>
      <c r="W397" s="9"/>
      <c r="X397" s="9"/>
      <c r="Y397" s="9"/>
    </row>
    <row r="398" spans="1:25" ht="15.75" customHeight="1" x14ac:dyDescent="0.35">
      <c r="A398" s="6"/>
      <c r="E398" s="9"/>
      <c r="F398" s="9"/>
      <c r="G398" s="9"/>
      <c r="M398" s="26"/>
      <c r="N398" s="26"/>
      <c r="O398" s="9"/>
      <c r="P398" s="9"/>
      <c r="W398" s="9"/>
      <c r="X398" s="9"/>
      <c r="Y398" s="9"/>
    </row>
    <row r="399" spans="1:25" ht="15.75" customHeight="1" x14ac:dyDescent="0.35">
      <c r="A399" s="6"/>
      <c r="E399" s="9"/>
      <c r="F399" s="9"/>
      <c r="G399" s="9"/>
      <c r="M399" s="26"/>
      <c r="N399" s="26"/>
      <c r="O399" s="9"/>
      <c r="P399" s="9"/>
      <c r="W399" s="9"/>
      <c r="X399" s="9"/>
      <c r="Y399" s="9"/>
    </row>
    <row r="400" spans="1:25" ht="15.75" customHeight="1" x14ac:dyDescent="0.35">
      <c r="A400" s="6"/>
      <c r="E400" s="9"/>
      <c r="F400" s="9"/>
      <c r="G400" s="9"/>
      <c r="M400" s="26"/>
      <c r="N400" s="26"/>
      <c r="O400" s="9"/>
      <c r="P400" s="9"/>
      <c r="W400" s="9"/>
      <c r="X400" s="9"/>
      <c r="Y400" s="9"/>
    </row>
    <row r="401" spans="1:25" ht="15.75" customHeight="1" x14ac:dyDescent="0.35">
      <c r="A401" s="6"/>
      <c r="E401" s="9"/>
      <c r="F401" s="9"/>
      <c r="G401" s="9"/>
      <c r="M401" s="26"/>
      <c r="N401" s="26"/>
      <c r="O401" s="9"/>
      <c r="P401" s="9"/>
      <c r="W401" s="9"/>
      <c r="X401" s="9"/>
      <c r="Y401" s="9"/>
    </row>
    <row r="402" spans="1:25" ht="15.75" customHeight="1" x14ac:dyDescent="0.35">
      <c r="A402" s="6"/>
      <c r="E402" s="9"/>
      <c r="F402" s="9"/>
      <c r="G402" s="9"/>
      <c r="M402" s="26"/>
      <c r="N402" s="26"/>
      <c r="O402" s="9"/>
      <c r="P402" s="9"/>
      <c r="W402" s="9"/>
      <c r="X402" s="9"/>
      <c r="Y402" s="9"/>
    </row>
    <row r="403" spans="1:25" ht="15.75" customHeight="1" x14ac:dyDescent="0.35">
      <c r="A403" s="6"/>
      <c r="E403" s="9"/>
      <c r="F403" s="9"/>
      <c r="G403" s="9"/>
      <c r="M403" s="26"/>
      <c r="N403" s="26"/>
      <c r="O403" s="9"/>
      <c r="P403" s="9"/>
      <c r="W403" s="9"/>
      <c r="X403" s="9"/>
      <c r="Y403" s="9"/>
    </row>
    <row r="404" spans="1:25" ht="15.75" customHeight="1" x14ac:dyDescent="0.35">
      <c r="A404" s="6"/>
      <c r="E404" s="9"/>
      <c r="F404" s="9"/>
      <c r="G404" s="9"/>
      <c r="M404" s="26"/>
      <c r="N404" s="26"/>
      <c r="O404" s="9"/>
      <c r="P404" s="9"/>
      <c r="W404" s="9"/>
      <c r="X404" s="9"/>
      <c r="Y404" s="9"/>
    </row>
    <row r="405" spans="1:25" ht="15.75" customHeight="1" x14ac:dyDescent="0.35">
      <c r="A405" s="6"/>
      <c r="E405" s="9"/>
      <c r="F405" s="9"/>
      <c r="G405" s="9"/>
      <c r="M405" s="26"/>
      <c r="N405" s="26"/>
      <c r="O405" s="9"/>
      <c r="P405" s="9"/>
      <c r="W405" s="9"/>
      <c r="X405" s="9"/>
      <c r="Y405" s="9"/>
    </row>
    <row r="406" spans="1:25" ht="15.75" customHeight="1" x14ac:dyDescent="0.35">
      <c r="A406" s="6"/>
      <c r="E406" s="9"/>
      <c r="F406" s="9"/>
      <c r="G406" s="9"/>
      <c r="M406" s="26"/>
      <c r="N406" s="26"/>
      <c r="O406" s="9"/>
      <c r="P406" s="9"/>
      <c r="W406" s="9"/>
      <c r="X406" s="9"/>
      <c r="Y406" s="9"/>
    </row>
    <row r="407" spans="1:25" ht="15.75" customHeight="1" x14ac:dyDescent="0.35">
      <c r="A407" s="6"/>
      <c r="E407" s="9"/>
      <c r="F407" s="9"/>
      <c r="G407" s="9"/>
      <c r="M407" s="26"/>
      <c r="N407" s="26"/>
      <c r="O407" s="9"/>
      <c r="P407" s="9"/>
      <c r="W407" s="9"/>
      <c r="X407" s="9"/>
      <c r="Y407" s="9"/>
    </row>
    <row r="408" spans="1:25" ht="15.75" customHeight="1" x14ac:dyDescent="0.35">
      <c r="A408" s="6"/>
      <c r="E408" s="9"/>
      <c r="F408" s="9"/>
      <c r="G408" s="9"/>
      <c r="M408" s="26"/>
      <c r="N408" s="26"/>
      <c r="O408" s="9"/>
      <c r="P408" s="9"/>
      <c r="W408" s="9"/>
      <c r="X408" s="9"/>
      <c r="Y408" s="9"/>
    </row>
    <row r="409" spans="1:25" ht="15.75" customHeight="1" x14ac:dyDescent="0.35">
      <c r="A409" s="6"/>
      <c r="E409" s="9"/>
      <c r="F409" s="9"/>
      <c r="G409" s="9"/>
      <c r="M409" s="26"/>
      <c r="N409" s="26"/>
      <c r="O409" s="9"/>
      <c r="P409" s="9"/>
      <c r="W409" s="9"/>
      <c r="X409" s="9"/>
      <c r="Y409" s="9"/>
    </row>
    <row r="410" spans="1:25" ht="15.75" customHeight="1" x14ac:dyDescent="0.35">
      <c r="A410" s="6"/>
      <c r="E410" s="9"/>
      <c r="F410" s="9"/>
      <c r="G410" s="9"/>
      <c r="M410" s="26"/>
      <c r="N410" s="26"/>
      <c r="O410" s="9"/>
      <c r="P410" s="9"/>
      <c r="W410" s="9"/>
      <c r="X410" s="9"/>
      <c r="Y410" s="9"/>
    </row>
    <row r="411" spans="1:25" ht="15.75" customHeight="1" x14ac:dyDescent="0.35">
      <c r="A411" s="6"/>
      <c r="E411" s="9"/>
      <c r="F411" s="9"/>
      <c r="G411" s="9"/>
      <c r="M411" s="26"/>
      <c r="N411" s="26"/>
      <c r="O411" s="9"/>
      <c r="P411" s="9"/>
      <c r="W411" s="9"/>
      <c r="X411" s="9"/>
      <c r="Y411" s="9"/>
    </row>
    <row r="412" spans="1:25" ht="15.75" customHeight="1" x14ac:dyDescent="0.35">
      <c r="A412" s="6"/>
      <c r="E412" s="9"/>
      <c r="F412" s="9"/>
      <c r="G412" s="9"/>
      <c r="M412" s="26"/>
      <c r="N412" s="26"/>
      <c r="O412" s="9"/>
      <c r="P412" s="9"/>
      <c r="W412" s="9"/>
      <c r="X412" s="9"/>
      <c r="Y412" s="9"/>
    </row>
    <row r="413" spans="1:25" ht="15.75" customHeight="1" x14ac:dyDescent="0.35">
      <c r="A413" s="6"/>
      <c r="E413" s="9"/>
      <c r="F413" s="9"/>
      <c r="G413" s="9"/>
      <c r="M413" s="26"/>
      <c r="N413" s="26"/>
      <c r="O413" s="9"/>
      <c r="P413" s="9"/>
      <c r="W413" s="9"/>
      <c r="X413" s="9"/>
      <c r="Y413" s="9"/>
    </row>
    <row r="414" spans="1:25" ht="15.75" customHeight="1" x14ac:dyDescent="0.35">
      <c r="A414" s="6"/>
      <c r="E414" s="9"/>
      <c r="F414" s="9"/>
      <c r="G414" s="9"/>
      <c r="M414" s="26"/>
      <c r="N414" s="26"/>
      <c r="O414" s="9"/>
      <c r="P414" s="9"/>
      <c r="W414" s="9"/>
      <c r="X414" s="9"/>
      <c r="Y414" s="9"/>
    </row>
    <row r="415" spans="1:25" ht="15.75" customHeight="1" x14ac:dyDescent="0.35">
      <c r="A415" s="6"/>
      <c r="E415" s="9"/>
      <c r="F415" s="9"/>
      <c r="G415" s="9"/>
      <c r="M415" s="26"/>
      <c r="N415" s="26"/>
      <c r="O415" s="9"/>
      <c r="P415" s="9"/>
      <c r="W415" s="9"/>
      <c r="X415" s="9"/>
      <c r="Y415" s="9"/>
    </row>
    <row r="416" spans="1:25" ht="15.75" customHeight="1" x14ac:dyDescent="0.35">
      <c r="A416" s="6"/>
      <c r="E416" s="9"/>
      <c r="F416" s="9"/>
      <c r="G416" s="9"/>
      <c r="M416" s="26"/>
      <c r="N416" s="26"/>
      <c r="O416" s="9"/>
      <c r="P416" s="9"/>
      <c r="W416" s="9"/>
      <c r="X416" s="9"/>
      <c r="Y416" s="9"/>
    </row>
    <row r="417" spans="1:25" ht="15.75" customHeight="1" x14ac:dyDescent="0.35">
      <c r="A417" s="6"/>
      <c r="E417" s="9"/>
      <c r="F417" s="9"/>
      <c r="G417" s="9"/>
      <c r="M417" s="26"/>
      <c r="N417" s="26"/>
      <c r="O417" s="9"/>
      <c r="P417" s="9"/>
      <c r="W417" s="9"/>
      <c r="X417" s="9"/>
      <c r="Y417" s="9"/>
    </row>
    <row r="418" spans="1:25" ht="15.75" customHeight="1" x14ac:dyDescent="0.35">
      <c r="A418" s="6"/>
      <c r="E418" s="9"/>
      <c r="F418" s="9"/>
      <c r="G418" s="9"/>
      <c r="M418" s="26"/>
      <c r="N418" s="26"/>
      <c r="O418" s="9"/>
      <c r="P418" s="9"/>
      <c r="W418" s="9"/>
      <c r="X418" s="9"/>
      <c r="Y418" s="9"/>
    </row>
    <row r="419" spans="1:25" ht="15.75" customHeight="1" x14ac:dyDescent="0.35">
      <c r="A419" s="6"/>
      <c r="E419" s="9"/>
      <c r="F419" s="9"/>
      <c r="G419" s="9"/>
      <c r="M419" s="26"/>
      <c r="N419" s="26"/>
      <c r="O419" s="9"/>
      <c r="P419" s="9"/>
      <c r="W419" s="9"/>
      <c r="X419" s="9"/>
      <c r="Y419" s="9"/>
    </row>
    <row r="420" spans="1:25" ht="15.75" customHeight="1" x14ac:dyDescent="0.35">
      <c r="A420" s="6"/>
      <c r="E420" s="9"/>
      <c r="F420" s="9"/>
      <c r="G420" s="9"/>
      <c r="M420" s="26"/>
      <c r="N420" s="26"/>
      <c r="O420" s="9"/>
      <c r="P420" s="9"/>
      <c r="W420" s="9"/>
      <c r="X420" s="9"/>
      <c r="Y420" s="9"/>
    </row>
    <row r="421" spans="1:25" ht="15.75" customHeight="1" x14ac:dyDescent="0.35">
      <c r="A421" s="6"/>
      <c r="E421" s="9"/>
      <c r="F421" s="9"/>
      <c r="G421" s="9"/>
      <c r="M421" s="26"/>
      <c r="N421" s="26"/>
      <c r="O421" s="9"/>
      <c r="P421" s="9"/>
      <c r="W421" s="9"/>
      <c r="X421" s="9"/>
      <c r="Y421" s="9"/>
    </row>
    <row r="422" spans="1:25" ht="15.75" customHeight="1" x14ac:dyDescent="0.35">
      <c r="A422" s="6"/>
      <c r="E422" s="9"/>
      <c r="F422" s="9"/>
      <c r="G422" s="9"/>
      <c r="M422" s="26"/>
      <c r="N422" s="26"/>
      <c r="O422" s="9"/>
      <c r="P422" s="9"/>
      <c r="W422" s="9"/>
      <c r="X422" s="9"/>
      <c r="Y422" s="9"/>
    </row>
    <row r="423" spans="1:25" ht="15.75" customHeight="1" x14ac:dyDescent="0.35">
      <c r="A423" s="6"/>
      <c r="E423" s="9"/>
      <c r="F423" s="9"/>
      <c r="G423" s="9"/>
      <c r="M423" s="26"/>
      <c r="N423" s="26"/>
      <c r="O423" s="9"/>
      <c r="P423" s="9"/>
      <c r="W423" s="9"/>
      <c r="X423" s="9"/>
      <c r="Y423" s="9"/>
    </row>
    <row r="424" spans="1:25" ht="15.75" customHeight="1" x14ac:dyDescent="0.35">
      <c r="A424" s="6"/>
      <c r="E424" s="9"/>
      <c r="F424" s="9"/>
      <c r="G424" s="9"/>
      <c r="M424" s="26"/>
      <c r="N424" s="26"/>
      <c r="O424" s="9"/>
      <c r="P424" s="9"/>
      <c r="W424" s="9"/>
      <c r="X424" s="9"/>
      <c r="Y424" s="9"/>
    </row>
    <row r="425" spans="1:25" ht="15.75" customHeight="1" x14ac:dyDescent="0.35">
      <c r="A425" s="6"/>
      <c r="E425" s="9"/>
      <c r="F425" s="9"/>
      <c r="G425" s="9"/>
      <c r="M425" s="26"/>
      <c r="N425" s="26"/>
      <c r="O425" s="9"/>
      <c r="P425" s="9"/>
      <c r="W425" s="9"/>
      <c r="X425" s="9"/>
      <c r="Y425" s="9"/>
    </row>
    <row r="426" spans="1:25" ht="15.75" customHeight="1" x14ac:dyDescent="0.35">
      <c r="A426" s="6"/>
      <c r="E426" s="9"/>
      <c r="F426" s="9"/>
      <c r="G426" s="9"/>
      <c r="M426" s="26"/>
      <c r="N426" s="26"/>
      <c r="O426" s="9"/>
      <c r="P426" s="9"/>
      <c r="W426" s="9"/>
      <c r="X426" s="9"/>
      <c r="Y426" s="9"/>
    </row>
    <row r="427" spans="1:25" ht="15.75" customHeight="1" x14ac:dyDescent="0.35">
      <c r="A427" s="6"/>
      <c r="E427" s="9"/>
      <c r="F427" s="9"/>
      <c r="G427" s="9"/>
      <c r="M427" s="26"/>
      <c r="N427" s="26"/>
      <c r="O427" s="9"/>
      <c r="P427" s="9"/>
      <c r="W427" s="9"/>
      <c r="X427" s="9"/>
      <c r="Y427" s="9"/>
    </row>
    <row r="428" spans="1:25" ht="15.75" customHeight="1" x14ac:dyDescent="0.35">
      <c r="A428" s="6"/>
      <c r="E428" s="9"/>
      <c r="F428" s="9"/>
      <c r="G428" s="9"/>
      <c r="M428" s="26"/>
      <c r="N428" s="26"/>
      <c r="O428" s="9"/>
      <c r="P428" s="9"/>
      <c r="W428" s="9"/>
      <c r="X428" s="9"/>
      <c r="Y428" s="9"/>
    </row>
    <row r="429" spans="1:25" ht="15.75" customHeight="1" x14ac:dyDescent="0.35">
      <c r="A429" s="6"/>
      <c r="E429" s="9"/>
      <c r="F429" s="9"/>
      <c r="G429" s="9"/>
      <c r="M429" s="26"/>
      <c r="N429" s="26"/>
      <c r="O429" s="9"/>
      <c r="P429" s="9"/>
      <c r="W429" s="9"/>
      <c r="X429" s="9"/>
      <c r="Y429" s="9"/>
    </row>
    <row r="430" spans="1:25" ht="15.75" customHeight="1" x14ac:dyDescent="0.35">
      <c r="A430" s="6"/>
      <c r="E430" s="9"/>
      <c r="F430" s="9"/>
      <c r="G430" s="9"/>
      <c r="M430" s="26"/>
      <c r="N430" s="26"/>
      <c r="O430" s="9"/>
      <c r="P430" s="9"/>
      <c r="W430" s="9"/>
      <c r="X430" s="9"/>
      <c r="Y430" s="9"/>
    </row>
    <row r="431" spans="1:25" ht="15.75" customHeight="1" x14ac:dyDescent="0.35">
      <c r="A431" s="6"/>
      <c r="E431" s="9"/>
      <c r="F431" s="9"/>
      <c r="G431" s="9"/>
      <c r="M431" s="26"/>
      <c r="N431" s="26"/>
      <c r="O431" s="9"/>
      <c r="P431" s="9"/>
      <c r="W431" s="9"/>
      <c r="X431" s="9"/>
      <c r="Y431" s="9"/>
    </row>
    <row r="432" spans="1:25" ht="15.75" customHeight="1" x14ac:dyDescent="0.35">
      <c r="A432" s="6"/>
      <c r="E432" s="9"/>
      <c r="F432" s="9"/>
      <c r="G432" s="9"/>
      <c r="M432" s="26"/>
      <c r="N432" s="26"/>
      <c r="O432" s="9"/>
      <c r="P432" s="9"/>
      <c r="W432" s="9"/>
      <c r="X432" s="9"/>
      <c r="Y432" s="9"/>
    </row>
    <row r="433" spans="1:25" ht="15.75" customHeight="1" x14ac:dyDescent="0.35">
      <c r="A433" s="6"/>
      <c r="E433" s="9"/>
      <c r="F433" s="9"/>
      <c r="G433" s="9"/>
      <c r="M433" s="26"/>
      <c r="N433" s="26"/>
      <c r="O433" s="9"/>
      <c r="P433" s="9"/>
      <c r="W433" s="9"/>
      <c r="X433" s="9"/>
      <c r="Y433" s="9"/>
    </row>
    <row r="434" spans="1:25" ht="15.75" customHeight="1" x14ac:dyDescent="0.35">
      <c r="A434" s="6"/>
      <c r="E434" s="9"/>
      <c r="F434" s="9"/>
      <c r="G434" s="9"/>
      <c r="M434" s="26"/>
      <c r="N434" s="26"/>
      <c r="O434" s="9"/>
      <c r="P434" s="9"/>
      <c r="W434" s="9"/>
      <c r="X434" s="9"/>
      <c r="Y434" s="9"/>
    </row>
    <row r="435" spans="1:25" ht="15.75" customHeight="1" x14ac:dyDescent="0.35">
      <c r="A435" s="6"/>
      <c r="E435" s="9"/>
      <c r="F435" s="9"/>
      <c r="G435" s="9"/>
      <c r="M435" s="26"/>
      <c r="N435" s="26"/>
      <c r="O435" s="9"/>
      <c r="P435" s="9"/>
      <c r="W435" s="9"/>
      <c r="X435" s="9"/>
      <c r="Y435" s="9"/>
    </row>
    <row r="436" spans="1:25" ht="15.75" customHeight="1" x14ac:dyDescent="0.35">
      <c r="A436" s="6"/>
      <c r="E436" s="9"/>
      <c r="F436" s="9"/>
      <c r="G436" s="9"/>
      <c r="M436" s="26"/>
      <c r="N436" s="26"/>
      <c r="O436" s="9"/>
      <c r="P436" s="9"/>
      <c r="W436" s="9"/>
      <c r="X436" s="9"/>
      <c r="Y436" s="9"/>
    </row>
    <row r="437" spans="1:25" ht="15.75" customHeight="1" x14ac:dyDescent="0.35">
      <c r="A437" s="6"/>
      <c r="E437" s="9"/>
      <c r="F437" s="9"/>
      <c r="G437" s="9"/>
      <c r="M437" s="26"/>
      <c r="N437" s="26"/>
      <c r="O437" s="9"/>
      <c r="P437" s="9"/>
      <c r="W437" s="9"/>
      <c r="X437" s="9"/>
      <c r="Y437" s="9"/>
    </row>
    <row r="438" spans="1:25" ht="15.75" customHeight="1" x14ac:dyDescent="0.35">
      <c r="A438" s="6"/>
      <c r="E438" s="9"/>
      <c r="F438" s="9"/>
      <c r="G438" s="9"/>
      <c r="M438" s="26"/>
      <c r="N438" s="26"/>
      <c r="O438" s="9"/>
      <c r="P438" s="9"/>
      <c r="W438" s="9"/>
      <c r="X438" s="9"/>
      <c r="Y438" s="9"/>
    </row>
    <row r="439" spans="1:25" ht="15.75" customHeight="1" x14ac:dyDescent="0.35">
      <c r="A439" s="6"/>
      <c r="E439" s="9"/>
      <c r="F439" s="9"/>
      <c r="G439" s="9"/>
      <c r="M439" s="26"/>
      <c r="N439" s="26"/>
      <c r="O439" s="9"/>
      <c r="P439" s="9"/>
      <c r="W439" s="9"/>
      <c r="X439" s="9"/>
      <c r="Y439" s="9"/>
    </row>
    <row r="440" spans="1:25" ht="15.75" customHeight="1" x14ac:dyDescent="0.35">
      <c r="A440" s="6"/>
      <c r="E440" s="9"/>
      <c r="F440" s="9"/>
      <c r="G440" s="9"/>
      <c r="M440" s="26"/>
      <c r="N440" s="26"/>
      <c r="O440" s="9"/>
      <c r="P440" s="9"/>
      <c r="W440" s="9"/>
      <c r="X440" s="9"/>
      <c r="Y440" s="9"/>
    </row>
    <row r="441" spans="1:25" ht="15.75" customHeight="1" x14ac:dyDescent="0.35">
      <c r="A441" s="6"/>
      <c r="E441" s="9"/>
      <c r="F441" s="9"/>
      <c r="G441" s="9"/>
      <c r="M441" s="26"/>
      <c r="N441" s="26"/>
      <c r="O441" s="9"/>
      <c r="P441" s="9"/>
      <c r="W441" s="9"/>
      <c r="X441" s="9"/>
      <c r="Y441" s="9"/>
    </row>
    <row r="442" spans="1:25" ht="15.75" customHeight="1" x14ac:dyDescent="0.35">
      <c r="A442" s="6"/>
      <c r="E442" s="9"/>
      <c r="F442" s="9"/>
      <c r="G442" s="9"/>
      <c r="M442" s="26"/>
      <c r="N442" s="26"/>
      <c r="O442" s="9"/>
      <c r="P442" s="9"/>
      <c r="W442" s="9"/>
      <c r="X442" s="9"/>
      <c r="Y442" s="9"/>
    </row>
    <row r="443" spans="1:25" ht="15.75" customHeight="1" x14ac:dyDescent="0.35">
      <c r="A443" s="6"/>
      <c r="E443" s="9"/>
      <c r="F443" s="9"/>
      <c r="G443" s="9"/>
      <c r="M443" s="26"/>
      <c r="N443" s="26"/>
      <c r="O443" s="9"/>
      <c r="P443" s="9"/>
      <c r="W443" s="9"/>
      <c r="X443" s="9"/>
      <c r="Y443" s="9"/>
    </row>
    <row r="444" spans="1:25" ht="15.75" customHeight="1" x14ac:dyDescent="0.35">
      <c r="A444" s="6"/>
      <c r="E444" s="9"/>
      <c r="F444" s="9"/>
      <c r="G444" s="9"/>
      <c r="M444" s="26"/>
      <c r="N444" s="26"/>
      <c r="O444" s="9"/>
      <c r="P444" s="9"/>
      <c r="W444" s="9"/>
      <c r="X444" s="9"/>
      <c r="Y444" s="9"/>
    </row>
    <row r="445" spans="1:25" ht="15.75" customHeight="1" x14ac:dyDescent="0.35">
      <c r="A445" s="6"/>
      <c r="E445" s="9"/>
      <c r="F445" s="9"/>
      <c r="G445" s="9"/>
      <c r="M445" s="26"/>
      <c r="N445" s="26"/>
      <c r="O445" s="9"/>
      <c r="P445" s="9"/>
      <c r="W445" s="9"/>
      <c r="X445" s="9"/>
      <c r="Y445" s="9"/>
    </row>
    <row r="446" spans="1:25" ht="15.75" customHeight="1" x14ac:dyDescent="0.35">
      <c r="A446" s="6"/>
      <c r="E446" s="9"/>
      <c r="F446" s="9"/>
      <c r="G446" s="9"/>
      <c r="M446" s="26"/>
      <c r="N446" s="26"/>
      <c r="O446" s="9"/>
      <c r="P446" s="9"/>
      <c r="W446" s="9"/>
      <c r="X446" s="9"/>
      <c r="Y446" s="9"/>
    </row>
    <row r="447" spans="1:25" ht="15.75" customHeight="1" x14ac:dyDescent="0.35">
      <c r="A447" s="6"/>
      <c r="E447" s="9"/>
      <c r="F447" s="9"/>
      <c r="G447" s="9"/>
      <c r="M447" s="26"/>
      <c r="N447" s="26"/>
      <c r="O447" s="9"/>
      <c r="P447" s="9"/>
      <c r="W447" s="9"/>
      <c r="X447" s="9"/>
      <c r="Y447" s="9"/>
    </row>
    <row r="448" spans="1:25" ht="15.75" customHeight="1" x14ac:dyDescent="0.35">
      <c r="A448" s="6"/>
      <c r="E448" s="9"/>
      <c r="F448" s="9"/>
      <c r="G448" s="9"/>
      <c r="M448" s="26"/>
      <c r="N448" s="26"/>
      <c r="O448" s="9"/>
      <c r="P448" s="9"/>
      <c r="W448" s="9"/>
      <c r="X448" s="9"/>
      <c r="Y448" s="9"/>
    </row>
    <row r="449" spans="1:25" ht="15.75" customHeight="1" x14ac:dyDescent="0.35">
      <c r="A449" s="6"/>
      <c r="E449" s="9"/>
      <c r="F449" s="9"/>
      <c r="G449" s="9"/>
      <c r="M449" s="26"/>
      <c r="N449" s="26"/>
      <c r="O449" s="9"/>
      <c r="P449" s="9"/>
      <c r="W449" s="9"/>
      <c r="X449" s="9"/>
      <c r="Y449" s="9"/>
    </row>
    <row r="450" spans="1:25" ht="15.75" customHeight="1" x14ac:dyDescent="0.35">
      <c r="A450" s="6"/>
      <c r="E450" s="9"/>
      <c r="F450" s="9"/>
      <c r="G450" s="9"/>
      <c r="M450" s="26"/>
      <c r="N450" s="26"/>
      <c r="O450" s="9"/>
      <c r="P450" s="9"/>
      <c r="W450" s="9"/>
      <c r="X450" s="9"/>
      <c r="Y450" s="9"/>
    </row>
    <row r="451" spans="1:25" ht="15.75" customHeight="1" x14ac:dyDescent="0.35">
      <c r="A451" s="6"/>
      <c r="E451" s="9"/>
      <c r="F451" s="9"/>
      <c r="G451" s="9"/>
      <c r="M451" s="26"/>
      <c r="N451" s="26"/>
      <c r="O451" s="9"/>
      <c r="P451" s="9"/>
      <c r="W451" s="9"/>
      <c r="X451" s="9"/>
      <c r="Y451" s="9"/>
    </row>
    <row r="452" spans="1:25" ht="15.75" customHeight="1" x14ac:dyDescent="0.35">
      <c r="A452" s="6"/>
      <c r="E452" s="9"/>
      <c r="F452" s="9"/>
      <c r="G452" s="9"/>
      <c r="M452" s="26"/>
      <c r="N452" s="26"/>
      <c r="O452" s="9"/>
      <c r="P452" s="9"/>
      <c r="W452" s="9"/>
      <c r="X452" s="9"/>
      <c r="Y452" s="9"/>
    </row>
    <row r="453" spans="1:25" ht="15.75" customHeight="1" x14ac:dyDescent="0.35">
      <c r="A453" s="6"/>
      <c r="E453" s="9"/>
      <c r="F453" s="9"/>
      <c r="G453" s="9"/>
      <c r="M453" s="26"/>
      <c r="N453" s="26"/>
      <c r="O453" s="9"/>
      <c r="P453" s="9"/>
      <c r="W453" s="9"/>
      <c r="X453" s="9"/>
      <c r="Y453" s="9"/>
    </row>
    <row r="454" spans="1:25" ht="15.75" customHeight="1" x14ac:dyDescent="0.35">
      <c r="A454" s="6"/>
      <c r="E454" s="9"/>
      <c r="F454" s="9"/>
      <c r="G454" s="9"/>
      <c r="M454" s="26"/>
      <c r="N454" s="26"/>
      <c r="O454" s="9"/>
      <c r="P454" s="9"/>
      <c r="W454" s="9"/>
      <c r="X454" s="9"/>
      <c r="Y454" s="9"/>
    </row>
    <row r="455" spans="1:25" ht="15.75" customHeight="1" x14ac:dyDescent="0.35">
      <c r="A455" s="6"/>
      <c r="E455" s="9"/>
      <c r="F455" s="9"/>
      <c r="G455" s="9"/>
      <c r="M455" s="26"/>
      <c r="N455" s="26"/>
      <c r="O455" s="9"/>
      <c r="P455" s="9"/>
      <c r="W455" s="9"/>
      <c r="X455" s="9"/>
      <c r="Y455" s="9"/>
    </row>
    <row r="456" spans="1:25" ht="15.75" customHeight="1" x14ac:dyDescent="0.35">
      <c r="A456" s="6"/>
      <c r="E456" s="9"/>
      <c r="F456" s="9"/>
      <c r="G456" s="9"/>
      <c r="M456" s="26"/>
      <c r="N456" s="26"/>
      <c r="O456" s="9"/>
      <c r="P456" s="9"/>
      <c r="W456" s="9"/>
      <c r="X456" s="9"/>
      <c r="Y456" s="9"/>
    </row>
    <row r="457" spans="1:25" ht="15.75" customHeight="1" x14ac:dyDescent="0.35">
      <c r="A457" s="6"/>
      <c r="E457" s="9"/>
      <c r="F457" s="9"/>
      <c r="G457" s="9"/>
      <c r="M457" s="26"/>
      <c r="N457" s="26"/>
      <c r="O457" s="9"/>
      <c r="P457" s="9"/>
      <c r="W457" s="9"/>
      <c r="X457" s="9"/>
      <c r="Y457" s="9"/>
    </row>
    <row r="458" spans="1:25" ht="15.75" customHeight="1" x14ac:dyDescent="0.35">
      <c r="A458" s="6"/>
      <c r="E458" s="9"/>
      <c r="F458" s="9"/>
      <c r="G458" s="9"/>
      <c r="M458" s="26"/>
      <c r="N458" s="26"/>
      <c r="O458" s="9"/>
      <c r="P458" s="9"/>
      <c r="W458" s="9"/>
      <c r="X458" s="9"/>
      <c r="Y458" s="9"/>
    </row>
    <row r="459" spans="1:25" ht="15.75" customHeight="1" x14ac:dyDescent="0.35">
      <c r="A459" s="6"/>
      <c r="E459" s="9"/>
      <c r="F459" s="9"/>
      <c r="G459" s="9"/>
      <c r="M459" s="26"/>
      <c r="N459" s="26"/>
      <c r="O459" s="9"/>
      <c r="P459" s="9"/>
      <c r="W459" s="9"/>
      <c r="X459" s="9"/>
      <c r="Y459" s="9"/>
    </row>
    <row r="460" spans="1:25" ht="15.75" customHeight="1" x14ac:dyDescent="0.35">
      <c r="A460" s="6"/>
      <c r="E460" s="9"/>
      <c r="F460" s="9"/>
      <c r="G460" s="9"/>
      <c r="M460" s="26"/>
      <c r="N460" s="26"/>
      <c r="O460" s="9"/>
      <c r="P460" s="9"/>
      <c r="W460" s="9"/>
      <c r="X460" s="9"/>
      <c r="Y460" s="9"/>
    </row>
    <row r="461" spans="1:25" ht="15.75" customHeight="1" x14ac:dyDescent="0.35">
      <c r="A461" s="6"/>
      <c r="E461" s="9"/>
      <c r="F461" s="9"/>
      <c r="G461" s="9"/>
      <c r="M461" s="26"/>
      <c r="N461" s="26"/>
      <c r="O461" s="9"/>
      <c r="P461" s="9"/>
      <c r="W461" s="9"/>
      <c r="X461" s="9"/>
      <c r="Y461" s="9"/>
    </row>
    <row r="462" spans="1:25" ht="15.75" customHeight="1" x14ac:dyDescent="0.35">
      <c r="A462" s="6"/>
      <c r="E462" s="9"/>
      <c r="F462" s="9"/>
      <c r="G462" s="9"/>
      <c r="M462" s="26"/>
      <c r="N462" s="26"/>
      <c r="O462" s="9"/>
      <c r="P462" s="9"/>
      <c r="W462" s="9"/>
      <c r="X462" s="9"/>
      <c r="Y462" s="9"/>
    </row>
    <row r="463" spans="1:25" ht="15.75" customHeight="1" x14ac:dyDescent="0.35">
      <c r="A463" s="6"/>
      <c r="E463" s="9"/>
      <c r="F463" s="9"/>
      <c r="G463" s="9"/>
      <c r="M463" s="26"/>
      <c r="N463" s="26"/>
      <c r="O463" s="9"/>
      <c r="P463" s="9"/>
      <c r="W463" s="9"/>
      <c r="X463" s="9"/>
      <c r="Y463" s="9"/>
    </row>
    <row r="464" spans="1:25" ht="15.75" customHeight="1" x14ac:dyDescent="0.35">
      <c r="A464" s="6"/>
      <c r="E464" s="9"/>
      <c r="F464" s="9"/>
      <c r="G464" s="9"/>
      <c r="M464" s="26"/>
      <c r="N464" s="26"/>
      <c r="O464" s="9"/>
      <c r="P464" s="9"/>
      <c r="W464" s="9"/>
      <c r="X464" s="9"/>
      <c r="Y464" s="9"/>
    </row>
    <row r="465" spans="1:25" ht="15.75" customHeight="1" x14ac:dyDescent="0.35">
      <c r="A465" s="6"/>
      <c r="E465" s="9"/>
      <c r="F465" s="9"/>
      <c r="G465" s="9"/>
      <c r="M465" s="26"/>
      <c r="N465" s="26"/>
      <c r="O465" s="9"/>
      <c r="P465" s="9"/>
      <c r="W465" s="9"/>
      <c r="X465" s="9"/>
      <c r="Y465" s="9"/>
    </row>
    <row r="466" spans="1:25" ht="15.75" customHeight="1" x14ac:dyDescent="0.35">
      <c r="A466" s="6"/>
      <c r="E466" s="9"/>
      <c r="F466" s="9"/>
      <c r="G466" s="9"/>
      <c r="M466" s="26"/>
      <c r="N466" s="26"/>
      <c r="O466" s="9"/>
      <c r="P466" s="9"/>
      <c r="W466" s="9"/>
      <c r="X466" s="9"/>
      <c r="Y466" s="9"/>
    </row>
    <row r="467" spans="1:25" ht="15.75" customHeight="1" x14ac:dyDescent="0.35">
      <c r="A467" s="6"/>
      <c r="E467" s="9"/>
      <c r="F467" s="9"/>
      <c r="G467" s="9"/>
      <c r="M467" s="26"/>
      <c r="N467" s="26"/>
      <c r="O467" s="9"/>
      <c r="P467" s="9"/>
      <c r="W467" s="9"/>
      <c r="X467" s="9"/>
      <c r="Y467" s="9"/>
    </row>
    <row r="468" spans="1:25" ht="15.75" customHeight="1" x14ac:dyDescent="0.35">
      <c r="A468" s="6"/>
      <c r="E468" s="9"/>
      <c r="F468" s="9"/>
      <c r="G468" s="9"/>
      <c r="M468" s="26"/>
      <c r="N468" s="26"/>
      <c r="O468" s="9"/>
      <c r="P468" s="9"/>
      <c r="W468" s="9"/>
      <c r="X468" s="9"/>
      <c r="Y468" s="9"/>
    </row>
    <row r="469" spans="1:25" ht="15.75" customHeight="1" x14ac:dyDescent="0.35">
      <c r="A469" s="6"/>
      <c r="E469" s="9"/>
      <c r="F469" s="9"/>
      <c r="G469" s="9"/>
      <c r="M469" s="26"/>
      <c r="N469" s="26"/>
      <c r="O469" s="9"/>
      <c r="P469" s="9"/>
      <c r="W469" s="9"/>
      <c r="X469" s="9"/>
      <c r="Y469" s="9"/>
    </row>
    <row r="470" spans="1:25" ht="15.75" customHeight="1" x14ac:dyDescent="0.35">
      <c r="A470" s="6"/>
      <c r="E470" s="9"/>
      <c r="F470" s="9"/>
      <c r="G470" s="9"/>
      <c r="M470" s="26"/>
      <c r="N470" s="26"/>
      <c r="O470" s="9"/>
      <c r="P470" s="9"/>
      <c r="W470" s="9"/>
      <c r="X470" s="9"/>
      <c r="Y470" s="9"/>
    </row>
    <row r="471" spans="1:25" ht="15.75" customHeight="1" x14ac:dyDescent="0.35">
      <c r="A471" s="6"/>
      <c r="E471" s="9"/>
      <c r="F471" s="9"/>
      <c r="G471" s="9"/>
      <c r="M471" s="26"/>
      <c r="N471" s="26"/>
      <c r="O471" s="9"/>
      <c r="P471" s="9"/>
      <c r="W471" s="9"/>
      <c r="X471" s="9"/>
      <c r="Y471" s="9"/>
    </row>
    <row r="472" spans="1:25" ht="15.75" customHeight="1" x14ac:dyDescent="0.35">
      <c r="A472" s="6"/>
      <c r="E472" s="9"/>
      <c r="F472" s="9"/>
      <c r="G472" s="9"/>
      <c r="M472" s="26"/>
      <c r="N472" s="26"/>
      <c r="O472" s="9"/>
      <c r="P472" s="9"/>
      <c r="W472" s="9"/>
      <c r="X472" s="9"/>
      <c r="Y472" s="9"/>
    </row>
    <row r="473" spans="1:25" ht="15.75" customHeight="1" x14ac:dyDescent="0.35">
      <c r="A473" s="6"/>
      <c r="E473" s="9"/>
      <c r="F473" s="9"/>
      <c r="G473" s="9"/>
      <c r="M473" s="26"/>
      <c r="N473" s="26"/>
      <c r="O473" s="9"/>
      <c r="P473" s="9"/>
      <c r="W473" s="9"/>
      <c r="X473" s="9"/>
      <c r="Y473" s="9"/>
    </row>
    <row r="474" spans="1:25" ht="15.75" customHeight="1" x14ac:dyDescent="0.35">
      <c r="A474" s="6"/>
      <c r="E474" s="9"/>
      <c r="F474" s="9"/>
      <c r="G474" s="9"/>
      <c r="M474" s="26"/>
      <c r="N474" s="26"/>
      <c r="O474" s="9"/>
      <c r="P474" s="9"/>
      <c r="W474" s="9"/>
      <c r="X474" s="9"/>
      <c r="Y474" s="9"/>
    </row>
    <row r="475" spans="1:25" ht="15.75" customHeight="1" x14ac:dyDescent="0.35">
      <c r="A475" s="6"/>
      <c r="E475" s="9"/>
      <c r="F475" s="9"/>
      <c r="G475" s="9"/>
      <c r="M475" s="26"/>
      <c r="N475" s="26"/>
      <c r="O475" s="9"/>
      <c r="P475" s="9"/>
      <c r="W475" s="9"/>
      <c r="X475" s="9"/>
      <c r="Y475" s="9"/>
    </row>
    <row r="476" spans="1:25" ht="15.75" customHeight="1" x14ac:dyDescent="0.35">
      <c r="A476" s="6"/>
      <c r="E476" s="9"/>
      <c r="F476" s="9"/>
      <c r="G476" s="9"/>
      <c r="M476" s="26"/>
      <c r="N476" s="26"/>
      <c r="O476" s="9"/>
      <c r="P476" s="9"/>
      <c r="W476" s="9"/>
      <c r="X476" s="9"/>
      <c r="Y476" s="9"/>
    </row>
    <row r="477" spans="1:25" ht="15.75" customHeight="1" x14ac:dyDescent="0.35">
      <c r="A477" s="6"/>
      <c r="E477" s="9"/>
      <c r="F477" s="9"/>
      <c r="G477" s="9"/>
      <c r="M477" s="26"/>
      <c r="N477" s="26"/>
      <c r="O477" s="9"/>
      <c r="P477" s="9"/>
      <c r="W477" s="9"/>
      <c r="X477" s="9"/>
      <c r="Y477" s="9"/>
    </row>
    <row r="478" spans="1:25" ht="15.75" customHeight="1" x14ac:dyDescent="0.35">
      <c r="A478" s="6"/>
      <c r="E478" s="9"/>
      <c r="F478" s="9"/>
      <c r="G478" s="9"/>
      <c r="M478" s="26"/>
      <c r="N478" s="26"/>
      <c r="O478" s="9"/>
      <c r="P478" s="9"/>
      <c r="W478" s="9"/>
      <c r="X478" s="9"/>
      <c r="Y478" s="9"/>
    </row>
    <row r="479" spans="1:25" ht="15.75" customHeight="1" x14ac:dyDescent="0.35">
      <c r="A479" s="6"/>
      <c r="E479" s="9"/>
      <c r="F479" s="9"/>
      <c r="G479" s="9"/>
      <c r="M479" s="26"/>
      <c r="N479" s="26"/>
      <c r="O479" s="9"/>
      <c r="P479" s="9"/>
      <c r="W479" s="9"/>
      <c r="X479" s="9"/>
      <c r="Y479" s="9"/>
    </row>
    <row r="480" spans="1:25" ht="15.75" customHeight="1" x14ac:dyDescent="0.35">
      <c r="A480" s="6"/>
      <c r="E480" s="9"/>
      <c r="F480" s="9"/>
      <c r="G480" s="9"/>
      <c r="M480" s="26"/>
      <c r="N480" s="26"/>
      <c r="O480" s="9"/>
      <c r="P480" s="9"/>
      <c r="W480" s="9"/>
      <c r="X480" s="9"/>
      <c r="Y480" s="9"/>
    </row>
    <row r="481" spans="1:25" ht="15.75" customHeight="1" x14ac:dyDescent="0.35">
      <c r="A481" s="6"/>
      <c r="E481" s="9"/>
      <c r="F481" s="9"/>
      <c r="G481" s="9"/>
      <c r="M481" s="26"/>
      <c r="N481" s="26"/>
      <c r="O481" s="9"/>
      <c r="P481" s="9"/>
      <c r="W481" s="9"/>
      <c r="X481" s="9"/>
      <c r="Y481" s="9"/>
    </row>
    <row r="482" spans="1:25" ht="15.75" customHeight="1" x14ac:dyDescent="0.35">
      <c r="A482" s="6"/>
      <c r="E482" s="9"/>
      <c r="F482" s="9"/>
      <c r="G482" s="9"/>
      <c r="M482" s="26"/>
      <c r="N482" s="26"/>
      <c r="O482" s="9"/>
      <c r="P482" s="9"/>
      <c r="W482" s="9"/>
      <c r="X482" s="9"/>
      <c r="Y482" s="9"/>
    </row>
    <row r="483" spans="1:25" ht="15.75" customHeight="1" x14ac:dyDescent="0.35">
      <c r="A483" s="6"/>
      <c r="E483" s="9"/>
      <c r="F483" s="9"/>
      <c r="G483" s="9"/>
      <c r="M483" s="26"/>
      <c r="N483" s="26"/>
      <c r="O483" s="9"/>
      <c r="P483" s="9"/>
      <c r="W483" s="9"/>
      <c r="X483" s="9"/>
      <c r="Y483" s="9"/>
    </row>
    <row r="484" spans="1:25" ht="15.75" customHeight="1" x14ac:dyDescent="0.35">
      <c r="A484" s="6"/>
      <c r="E484" s="9"/>
      <c r="F484" s="9"/>
      <c r="G484" s="9"/>
      <c r="M484" s="26"/>
      <c r="N484" s="26"/>
      <c r="O484" s="9"/>
      <c r="P484" s="9"/>
      <c r="W484" s="9"/>
      <c r="X484" s="9"/>
      <c r="Y484" s="9"/>
    </row>
    <row r="485" spans="1:25" ht="15.75" customHeight="1" x14ac:dyDescent="0.35">
      <c r="A485" s="6"/>
      <c r="E485" s="9"/>
      <c r="F485" s="9"/>
      <c r="G485" s="9"/>
      <c r="M485" s="26"/>
      <c r="N485" s="26"/>
      <c r="O485" s="9"/>
      <c r="P485" s="9"/>
      <c r="W485" s="9"/>
      <c r="X485" s="9"/>
      <c r="Y485" s="9"/>
    </row>
    <row r="486" spans="1:25" ht="15.75" customHeight="1" x14ac:dyDescent="0.35">
      <c r="A486" s="6"/>
      <c r="E486" s="9"/>
      <c r="F486" s="9"/>
      <c r="G486" s="9"/>
      <c r="M486" s="26"/>
      <c r="N486" s="26"/>
      <c r="O486" s="9"/>
      <c r="P486" s="9"/>
      <c r="W486" s="9"/>
      <c r="X486" s="9"/>
      <c r="Y486" s="9"/>
    </row>
    <row r="487" spans="1:25" ht="15.75" customHeight="1" x14ac:dyDescent="0.35">
      <c r="A487" s="6"/>
      <c r="E487" s="9"/>
      <c r="F487" s="9"/>
      <c r="G487" s="9"/>
      <c r="M487" s="26"/>
      <c r="N487" s="26"/>
      <c r="O487" s="9"/>
      <c r="P487" s="9"/>
      <c r="W487" s="9"/>
      <c r="X487" s="9"/>
      <c r="Y487" s="9"/>
    </row>
    <row r="488" spans="1:25" ht="15.75" customHeight="1" x14ac:dyDescent="0.35">
      <c r="A488" s="6"/>
      <c r="E488" s="9"/>
      <c r="F488" s="9"/>
      <c r="G488" s="9"/>
      <c r="M488" s="26"/>
      <c r="N488" s="26"/>
      <c r="O488" s="9"/>
      <c r="P488" s="9"/>
      <c r="W488" s="9"/>
      <c r="X488" s="9"/>
      <c r="Y488" s="9"/>
    </row>
    <row r="489" spans="1:25" ht="15.75" customHeight="1" x14ac:dyDescent="0.35">
      <c r="A489" s="6"/>
      <c r="E489" s="9"/>
      <c r="F489" s="9"/>
      <c r="G489" s="9"/>
      <c r="M489" s="26"/>
      <c r="N489" s="26"/>
      <c r="O489" s="9"/>
      <c r="P489" s="9"/>
      <c r="W489" s="9"/>
      <c r="X489" s="9"/>
      <c r="Y489" s="9"/>
    </row>
    <row r="490" spans="1:25" ht="15.75" customHeight="1" x14ac:dyDescent="0.35">
      <c r="A490" s="6"/>
      <c r="E490" s="9"/>
      <c r="F490" s="9"/>
      <c r="G490" s="9"/>
      <c r="M490" s="26"/>
      <c r="N490" s="26"/>
      <c r="O490" s="9"/>
      <c r="P490" s="9"/>
      <c r="W490" s="9"/>
      <c r="X490" s="9"/>
      <c r="Y490" s="9"/>
    </row>
    <row r="491" spans="1:25" ht="15.75" customHeight="1" x14ac:dyDescent="0.35">
      <c r="A491" s="6"/>
      <c r="E491" s="9"/>
      <c r="F491" s="9"/>
      <c r="G491" s="9"/>
      <c r="M491" s="26"/>
      <c r="N491" s="26"/>
      <c r="O491" s="9"/>
      <c r="P491" s="9"/>
      <c r="W491" s="9"/>
      <c r="X491" s="9"/>
      <c r="Y491" s="9"/>
    </row>
    <row r="492" spans="1:25" ht="15.75" customHeight="1" x14ac:dyDescent="0.35">
      <c r="A492" s="6"/>
      <c r="E492" s="9"/>
      <c r="F492" s="9"/>
      <c r="G492" s="9"/>
      <c r="M492" s="26"/>
      <c r="N492" s="26"/>
      <c r="O492" s="9"/>
      <c r="P492" s="9"/>
      <c r="W492" s="9"/>
      <c r="X492" s="9"/>
      <c r="Y492" s="9"/>
    </row>
    <row r="493" spans="1:25" ht="15.75" customHeight="1" x14ac:dyDescent="0.35">
      <c r="A493" s="6"/>
      <c r="E493" s="9"/>
      <c r="F493" s="9"/>
      <c r="G493" s="9"/>
      <c r="M493" s="26"/>
      <c r="N493" s="26"/>
      <c r="O493" s="9"/>
      <c r="P493" s="9"/>
      <c r="W493" s="9"/>
      <c r="X493" s="9"/>
      <c r="Y493" s="9"/>
    </row>
    <row r="494" spans="1:25" ht="15.75" customHeight="1" x14ac:dyDescent="0.35">
      <c r="A494" s="6"/>
      <c r="E494" s="9"/>
      <c r="F494" s="9"/>
      <c r="G494" s="9"/>
      <c r="M494" s="26"/>
      <c r="N494" s="26"/>
      <c r="O494" s="9"/>
      <c r="P494" s="9"/>
      <c r="W494" s="9"/>
      <c r="X494" s="9"/>
      <c r="Y494" s="9"/>
    </row>
    <row r="495" spans="1:25" ht="15.75" customHeight="1" x14ac:dyDescent="0.35">
      <c r="A495" s="6"/>
      <c r="E495" s="9"/>
      <c r="F495" s="9"/>
      <c r="G495" s="9"/>
      <c r="M495" s="26"/>
      <c r="N495" s="26"/>
      <c r="O495" s="9"/>
      <c r="P495" s="9"/>
      <c r="W495" s="9"/>
      <c r="X495" s="9"/>
      <c r="Y495" s="9"/>
    </row>
    <row r="496" spans="1:25" ht="15.75" customHeight="1" x14ac:dyDescent="0.35">
      <c r="A496" s="6"/>
      <c r="E496" s="9"/>
      <c r="F496" s="9"/>
      <c r="G496" s="9"/>
      <c r="M496" s="26"/>
      <c r="N496" s="26"/>
      <c r="O496" s="9"/>
      <c r="P496" s="9"/>
      <c r="W496" s="9"/>
      <c r="X496" s="9"/>
      <c r="Y496" s="9"/>
    </row>
    <row r="497" spans="1:25" ht="15.75" customHeight="1" x14ac:dyDescent="0.35">
      <c r="A497" s="6"/>
      <c r="E497" s="9"/>
      <c r="F497" s="9"/>
      <c r="G497" s="9"/>
      <c r="M497" s="26"/>
      <c r="N497" s="26"/>
      <c r="O497" s="9"/>
      <c r="P497" s="9"/>
      <c r="W497" s="9"/>
      <c r="X497" s="9"/>
      <c r="Y497" s="9"/>
    </row>
    <row r="498" spans="1:25" ht="15.75" customHeight="1" x14ac:dyDescent="0.35">
      <c r="A498" s="6"/>
      <c r="E498" s="9"/>
      <c r="F498" s="9"/>
      <c r="G498" s="9"/>
      <c r="M498" s="26"/>
      <c r="N498" s="26"/>
      <c r="O498" s="9"/>
      <c r="P498" s="9"/>
      <c r="W498" s="9"/>
      <c r="X498" s="9"/>
      <c r="Y498" s="9"/>
    </row>
    <row r="499" spans="1:25" ht="15.75" customHeight="1" x14ac:dyDescent="0.35">
      <c r="A499" s="6"/>
      <c r="E499" s="9"/>
      <c r="F499" s="9"/>
      <c r="G499" s="9"/>
      <c r="M499" s="26"/>
      <c r="N499" s="26"/>
      <c r="O499" s="9"/>
      <c r="P499" s="9"/>
      <c r="W499" s="9"/>
      <c r="X499" s="9"/>
      <c r="Y499" s="9"/>
    </row>
    <row r="500" spans="1:25" ht="15.75" customHeight="1" x14ac:dyDescent="0.35">
      <c r="A500" s="6"/>
      <c r="E500" s="9"/>
      <c r="F500" s="9"/>
      <c r="G500" s="9"/>
      <c r="M500" s="26"/>
      <c r="N500" s="26"/>
      <c r="O500" s="9"/>
      <c r="P500" s="9"/>
      <c r="W500" s="9"/>
      <c r="X500" s="9"/>
      <c r="Y500" s="9"/>
    </row>
    <row r="501" spans="1:25" ht="15.75" customHeight="1" x14ac:dyDescent="0.35">
      <c r="A501" s="6"/>
      <c r="E501" s="9"/>
      <c r="F501" s="9"/>
      <c r="G501" s="9"/>
      <c r="M501" s="26"/>
      <c r="N501" s="26"/>
      <c r="O501" s="9"/>
      <c r="P501" s="9"/>
      <c r="W501" s="9"/>
      <c r="X501" s="9"/>
      <c r="Y501" s="9"/>
    </row>
    <row r="502" spans="1:25" ht="15.75" customHeight="1" x14ac:dyDescent="0.35">
      <c r="A502" s="6"/>
      <c r="E502" s="9"/>
      <c r="F502" s="9"/>
      <c r="G502" s="9"/>
      <c r="M502" s="26"/>
      <c r="N502" s="26"/>
      <c r="O502" s="9"/>
      <c r="P502" s="9"/>
      <c r="W502" s="9"/>
      <c r="X502" s="9"/>
      <c r="Y502" s="9"/>
    </row>
    <row r="503" spans="1:25" ht="15.75" customHeight="1" x14ac:dyDescent="0.35">
      <c r="A503" s="6"/>
      <c r="E503" s="9"/>
      <c r="F503" s="9"/>
      <c r="G503" s="9"/>
      <c r="M503" s="26"/>
      <c r="N503" s="26"/>
      <c r="O503" s="9"/>
      <c r="P503" s="9"/>
      <c r="W503" s="9"/>
      <c r="X503" s="9"/>
      <c r="Y503" s="9"/>
    </row>
    <row r="504" spans="1:25" ht="15.75" customHeight="1" x14ac:dyDescent="0.35">
      <c r="A504" s="6"/>
      <c r="E504" s="9"/>
      <c r="F504" s="9"/>
      <c r="G504" s="9"/>
      <c r="M504" s="26"/>
      <c r="N504" s="26"/>
      <c r="O504" s="9"/>
      <c r="P504" s="9"/>
      <c r="W504" s="9"/>
      <c r="X504" s="9"/>
      <c r="Y504" s="9"/>
    </row>
    <row r="505" spans="1:25" ht="15.75" customHeight="1" x14ac:dyDescent="0.35">
      <c r="A505" s="6"/>
      <c r="E505" s="9"/>
      <c r="F505" s="9"/>
      <c r="G505" s="9"/>
      <c r="M505" s="26"/>
      <c r="N505" s="26"/>
      <c r="O505" s="9"/>
      <c r="P505" s="9"/>
      <c r="W505" s="9"/>
      <c r="X505" s="9"/>
      <c r="Y505" s="9"/>
    </row>
    <row r="506" spans="1:25" ht="15.75" customHeight="1" x14ac:dyDescent="0.35">
      <c r="A506" s="6"/>
      <c r="E506" s="9"/>
      <c r="F506" s="9"/>
      <c r="G506" s="9"/>
      <c r="M506" s="26"/>
      <c r="N506" s="26"/>
      <c r="O506" s="9"/>
      <c r="P506" s="9"/>
      <c r="W506" s="9"/>
      <c r="X506" s="9"/>
      <c r="Y506" s="9"/>
    </row>
    <row r="507" spans="1:25" ht="15.75" customHeight="1" x14ac:dyDescent="0.35">
      <c r="A507" s="6"/>
      <c r="E507" s="9"/>
      <c r="F507" s="9"/>
      <c r="G507" s="9"/>
      <c r="M507" s="26"/>
      <c r="N507" s="26"/>
      <c r="O507" s="9"/>
      <c r="P507" s="9"/>
      <c r="W507" s="9"/>
      <c r="X507" s="9"/>
      <c r="Y507" s="9"/>
    </row>
    <row r="508" spans="1:25" ht="15.75" customHeight="1" x14ac:dyDescent="0.35">
      <c r="A508" s="6"/>
      <c r="E508" s="9"/>
      <c r="F508" s="9"/>
      <c r="G508" s="9"/>
      <c r="M508" s="26"/>
      <c r="N508" s="26"/>
      <c r="O508" s="9"/>
      <c r="P508" s="9"/>
      <c r="W508" s="9"/>
      <c r="X508" s="9"/>
      <c r="Y508" s="9"/>
    </row>
    <row r="509" spans="1:25" ht="15.75" customHeight="1" x14ac:dyDescent="0.35">
      <c r="A509" s="6"/>
      <c r="E509" s="9"/>
      <c r="F509" s="9"/>
      <c r="G509" s="9"/>
      <c r="M509" s="26"/>
      <c r="N509" s="26"/>
      <c r="O509" s="9"/>
      <c r="P509" s="9"/>
      <c r="W509" s="9"/>
      <c r="X509" s="9"/>
      <c r="Y509" s="9"/>
    </row>
    <row r="510" spans="1:25" ht="15.75" customHeight="1" x14ac:dyDescent="0.35">
      <c r="A510" s="6"/>
      <c r="E510" s="9"/>
      <c r="F510" s="9"/>
      <c r="G510" s="9"/>
      <c r="M510" s="26"/>
      <c r="N510" s="26"/>
      <c r="O510" s="9"/>
      <c r="P510" s="9"/>
      <c r="W510" s="9"/>
      <c r="X510" s="9"/>
      <c r="Y510" s="9"/>
    </row>
    <row r="511" spans="1:25" ht="15.75" customHeight="1" x14ac:dyDescent="0.35">
      <c r="A511" s="6"/>
      <c r="E511" s="9"/>
      <c r="F511" s="9"/>
      <c r="G511" s="9"/>
      <c r="M511" s="26"/>
      <c r="N511" s="26"/>
      <c r="O511" s="9"/>
      <c r="P511" s="9"/>
      <c r="W511" s="9"/>
      <c r="X511" s="9"/>
      <c r="Y511" s="9"/>
    </row>
    <row r="512" spans="1:25" ht="15.75" customHeight="1" x14ac:dyDescent="0.35">
      <c r="A512" s="6"/>
      <c r="E512" s="9"/>
      <c r="F512" s="9"/>
      <c r="G512" s="9"/>
      <c r="M512" s="26"/>
      <c r="N512" s="26"/>
      <c r="O512" s="9"/>
      <c r="P512" s="9"/>
      <c r="W512" s="9"/>
      <c r="X512" s="9"/>
      <c r="Y512" s="9"/>
    </row>
    <row r="513" spans="1:25" ht="15.75" customHeight="1" x14ac:dyDescent="0.35">
      <c r="A513" s="6"/>
      <c r="E513" s="9"/>
      <c r="F513" s="9"/>
      <c r="G513" s="9"/>
      <c r="M513" s="26"/>
      <c r="N513" s="26"/>
      <c r="O513" s="9"/>
      <c r="P513" s="9"/>
      <c r="W513" s="9"/>
      <c r="X513" s="9"/>
      <c r="Y513" s="9"/>
    </row>
    <row r="514" spans="1:25" ht="15.75" customHeight="1" x14ac:dyDescent="0.35">
      <c r="A514" s="6"/>
      <c r="E514" s="9"/>
      <c r="F514" s="9"/>
      <c r="G514" s="9"/>
      <c r="M514" s="26"/>
      <c r="N514" s="26"/>
      <c r="O514" s="9"/>
      <c r="P514" s="9"/>
      <c r="W514" s="9"/>
      <c r="X514" s="9"/>
      <c r="Y514" s="9"/>
    </row>
    <row r="515" spans="1:25" ht="15.75" customHeight="1" x14ac:dyDescent="0.35">
      <c r="A515" s="6"/>
      <c r="E515" s="9"/>
      <c r="F515" s="9"/>
      <c r="G515" s="9"/>
      <c r="M515" s="26"/>
      <c r="N515" s="26"/>
      <c r="O515" s="9"/>
      <c r="P515" s="9"/>
      <c r="W515" s="9"/>
      <c r="X515" s="9"/>
      <c r="Y515" s="9"/>
    </row>
    <row r="516" spans="1:25" ht="15.75" customHeight="1" x14ac:dyDescent="0.35">
      <c r="A516" s="6"/>
      <c r="E516" s="9"/>
      <c r="F516" s="9"/>
      <c r="G516" s="9"/>
      <c r="M516" s="26"/>
      <c r="N516" s="26"/>
      <c r="O516" s="9"/>
      <c r="P516" s="9"/>
      <c r="W516" s="9"/>
      <c r="X516" s="9"/>
      <c r="Y516" s="9"/>
    </row>
    <row r="517" spans="1:25" ht="15.75" customHeight="1" x14ac:dyDescent="0.35">
      <c r="A517" s="6"/>
      <c r="E517" s="9"/>
      <c r="F517" s="9"/>
      <c r="G517" s="9"/>
      <c r="M517" s="26"/>
      <c r="N517" s="26"/>
      <c r="O517" s="9"/>
      <c r="P517" s="9"/>
      <c r="W517" s="9"/>
      <c r="X517" s="9"/>
      <c r="Y517" s="9"/>
    </row>
    <row r="518" spans="1:25" ht="15.75" customHeight="1" x14ac:dyDescent="0.35">
      <c r="A518" s="6"/>
      <c r="E518" s="9"/>
      <c r="F518" s="9"/>
      <c r="G518" s="9"/>
      <c r="M518" s="26"/>
      <c r="N518" s="26"/>
      <c r="O518" s="9"/>
      <c r="P518" s="9"/>
      <c r="W518" s="9"/>
      <c r="X518" s="9"/>
      <c r="Y518" s="9"/>
    </row>
    <row r="519" spans="1:25" ht="15.75" customHeight="1" x14ac:dyDescent="0.35">
      <c r="A519" s="6"/>
      <c r="E519" s="9"/>
      <c r="F519" s="9"/>
      <c r="G519" s="9"/>
      <c r="M519" s="26"/>
      <c r="N519" s="26"/>
      <c r="O519" s="9"/>
      <c r="P519" s="9"/>
      <c r="W519" s="9"/>
      <c r="X519" s="9"/>
      <c r="Y519" s="9"/>
    </row>
    <row r="520" spans="1:25" ht="15.75" customHeight="1" x14ac:dyDescent="0.35">
      <c r="A520" s="6"/>
      <c r="E520" s="9"/>
      <c r="F520" s="9"/>
      <c r="G520" s="9"/>
      <c r="M520" s="26"/>
      <c r="N520" s="26"/>
      <c r="O520" s="9"/>
      <c r="P520" s="9"/>
      <c r="W520" s="9"/>
      <c r="X520" s="9"/>
      <c r="Y520" s="9"/>
    </row>
    <row r="521" spans="1:25" ht="15.75" customHeight="1" x14ac:dyDescent="0.35">
      <c r="A521" s="6"/>
      <c r="E521" s="9"/>
      <c r="F521" s="9"/>
      <c r="G521" s="9"/>
      <c r="M521" s="26"/>
      <c r="N521" s="26"/>
      <c r="O521" s="9"/>
      <c r="P521" s="9"/>
      <c r="W521" s="9"/>
      <c r="X521" s="9"/>
      <c r="Y521" s="9"/>
    </row>
    <row r="522" spans="1:25" ht="15.75" customHeight="1" x14ac:dyDescent="0.35">
      <c r="A522" s="6"/>
      <c r="E522" s="9"/>
      <c r="F522" s="9"/>
      <c r="G522" s="9"/>
      <c r="M522" s="26"/>
      <c r="N522" s="26"/>
      <c r="O522" s="9"/>
      <c r="P522" s="9"/>
      <c r="W522" s="9"/>
      <c r="X522" s="9"/>
      <c r="Y522" s="9"/>
    </row>
    <row r="523" spans="1:25" ht="15.75" customHeight="1" x14ac:dyDescent="0.35">
      <c r="A523" s="6"/>
      <c r="E523" s="9"/>
      <c r="F523" s="9"/>
      <c r="G523" s="9"/>
      <c r="M523" s="26"/>
      <c r="N523" s="26"/>
      <c r="O523" s="9"/>
      <c r="P523" s="9"/>
      <c r="W523" s="9"/>
      <c r="X523" s="9"/>
      <c r="Y523" s="9"/>
    </row>
    <row r="524" spans="1:25" ht="15.75" customHeight="1" x14ac:dyDescent="0.35">
      <c r="A524" s="6"/>
      <c r="E524" s="9"/>
      <c r="F524" s="9"/>
      <c r="G524" s="9"/>
      <c r="M524" s="26"/>
      <c r="N524" s="26"/>
      <c r="O524" s="9"/>
      <c r="P524" s="9"/>
      <c r="W524" s="9"/>
      <c r="X524" s="9"/>
      <c r="Y524" s="9"/>
    </row>
    <row r="525" spans="1:25" ht="15.75" customHeight="1" x14ac:dyDescent="0.35">
      <c r="A525" s="6"/>
      <c r="E525" s="9"/>
      <c r="F525" s="9"/>
      <c r="G525" s="9"/>
      <c r="M525" s="26"/>
      <c r="N525" s="26"/>
      <c r="O525" s="9"/>
      <c r="P525" s="9"/>
      <c r="W525" s="9"/>
      <c r="X525" s="9"/>
      <c r="Y525" s="9"/>
    </row>
    <row r="526" spans="1:25" ht="15.75" customHeight="1" x14ac:dyDescent="0.35">
      <c r="A526" s="6"/>
      <c r="E526" s="9"/>
      <c r="F526" s="9"/>
      <c r="G526" s="9"/>
      <c r="M526" s="26"/>
      <c r="N526" s="26"/>
      <c r="O526" s="9"/>
      <c r="P526" s="9"/>
      <c r="W526" s="9"/>
      <c r="X526" s="9"/>
      <c r="Y526" s="9"/>
    </row>
    <row r="527" spans="1:25" ht="15.75" customHeight="1" x14ac:dyDescent="0.35">
      <c r="A527" s="6"/>
      <c r="E527" s="9"/>
      <c r="F527" s="9"/>
      <c r="G527" s="9"/>
      <c r="M527" s="26"/>
      <c r="N527" s="26"/>
      <c r="O527" s="9"/>
      <c r="P527" s="9"/>
      <c r="W527" s="9"/>
      <c r="X527" s="9"/>
      <c r="Y527" s="9"/>
    </row>
    <row r="528" spans="1:25" ht="15.75" customHeight="1" x14ac:dyDescent="0.35">
      <c r="A528" s="6"/>
      <c r="E528" s="9"/>
      <c r="F528" s="9"/>
      <c r="G528" s="9"/>
      <c r="M528" s="26"/>
      <c r="N528" s="26"/>
      <c r="O528" s="9"/>
      <c r="P528" s="9"/>
      <c r="W528" s="9"/>
      <c r="X528" s="9"/>
      <c r="Y528" s="9"/>
    </row>
    <row r="529" spans="1:25" ht="15.75" customHeight="1" x14ac:dyDescent="0.35">
      <c r="A529" s="6"/>
      <c r="E529" s="9"/>
      <c r="F529" s="9"/>
      <c r="G529" s="9"/>
      <c r="M529" s="26"/>
      <c r="N529" s="26"/>
      <c r="O529" s="9"/>
      <c r="P529" s="9"/>
      <c r="W529" s="9"/>
      <c r="X529" s="9"/>
      <c r="Y529" s="9"/>
    </row>
    <row r="530" spans="1:25" ht="15.75" customHeight="1" x14ac:dyDescent="0.35">
      <c r="A530" s="6"/>
      <c r="E530" s="9"/>
      <c r="F530" s="9"/>
      <c r="G530" s="9"/>
      <c r="M530" s="26"/>
      <c r="N530" s="26"/>
      <c r="O530" s="9"/>
      <c r="P530" s="9"/>
      <c r="W530" s="9"/>
      <c r="X530" s="9"/>
      <c r="Y530" s="9"/>
    </row>
    <row r="531" spans="1:25" ht="15.75" customHeight="1" x14ac:dyDescent="0.35">
      <c r="A531" s="6"/>
      <c r="E531" s="9"/>
      <c r="F531" s="9"/>
      <c r="G531" s="9"/>
      <c r="M531" s="26"/>
      <c r="N531" s="26"/>
      <c r="O531" s="9"/>
      <c r="P531" s="9"/>
      <c r="W531" s="9"/>
      <c r="X531" s="9"/>
      <c r="Y531" s="9"/>
    </row>
    <row r="532" spans="1:25" ht="15.75" customHeight="1" x14ac:dyDescent="0.35">
      <c r="A532" s="6"/>
      <c r="E532" s="9"/>
      <c r="F532" s="9"/>
      <c r="G532" s="9"/>
      <c r="M532" s="26"/>
      <c r="N532" s="26"/>
      <c r="O532" s="9"/>
      <c r="P532" s="9"/>
      <c r="W532" s="9"/>
      <c r="X532" s="9"/>
      <c r="Y532" s="9"/>
    </row>
    <row r="533" spans="1:25" ht="15.75" customHeight="1" x14ac:dyDescent="0.35">
      <c r="A533" s="6"/>
      <c r="E533" s="9"/>
      <c r="F533" s="9"/>
      <c r="G533" s="9"/>
      <c r="M533" s="26"/>
      <c r="N533" s="26"/>
      <c r="O533" s="9"/>
      <c r="P533" s="9"/>
      <c r="W533" s="9"/>
      <c r="X533" s="9"/>
      <c r="Y533" s="9"/>
    </row>
    <row r="534" spans="1:25" ht="15.75" customHeight="1" x14ac:dyDescent="0.35">
      <c r="A534" s="6"/>
      <c r="E534" s="9"/>
      <c r="F534" s="9"/>
      <c r="G534" s="9"/>
      <c r="M534" s="26"/>
      <c r="N534" s="26"/>
      <c r="O534" s="9"/>
      <c r="P534" s="9"/>
      <c r="W534" s="9"/>
      <c r="X534" s="9"/>
      <c r="Y534" s="9"/>
    </row>
    <row r="535" spans="1:25" ht="15.75" customHeight="1" x14ac:dyDescent="0.35">
      <c r="A535" s="6"/>
      <c r="E535" s="9"/>
      <c r="F535" s="9"/>
      <c r="G535" s="9"/>
      <c r="M535" s="26"/>
      <c r="N535" s="26"/>
      <c r="O535" s="9"/>
      <c r="P535" s="9"/>
      <c r="W535" s="9"/>
      <c r="X535" s="9"/>
      <c r="Y535" s="9"/>
    </row>
    <row r="536" spans="1:25" ht="15.75" customHeight="1" x14ac:dyDescent="0.35">
      <c r="A536" s="6"/>
      <c r="E536" s="9"/>
      <c r="F536" s="9"/>
      <c r="G536" s="9"/>
      <c r="M536" s="26"/>
      <c r="N536" s="26"/>
      <c r="O536" s="9"/>
      <c r="P536" s="9"/>
      <c r="W536" s="9"/>
      <c r="X536" s="9"/>
      <c r="Y536" s="9"/>
    </row>
    <row r="537" spans="1:25" ht="15.75" customHeight="1" x14ac:dyDescent="0.35">
      <c r="A537" s="6"/>
      <c r="E537" s="9"/>
      <c r="F537" s="9"/>
      <c r="G537" s="9"/>
      <c r="M537" s="26"/>
      <c r="N537" s="26"/>
      <c r="O537" s="9"/>
      <c r="P537" s="9"/>
      <c r="W537" s="9"/>
      <c r="X537" s="9"/>
      <c r="Y537" s="9"/>
    </row>
    <row r="538" spans="1:25" ht="15.75" customHeight="1" x14ac:dyDescent="0.35">
      <c r="A538" s="6"/>
      <c r="E538" s="9"/>
      <c r="F538" s="9"/>
      <c r="G538" s="9"/>
      <c r="M538" s="26"/>
      <c r="N538" s="26"/>
      <c r="O538" s="9"/>
      <c r="P538" s="9"/>
      <c r="W538" s="9"/>
      <c r="X538" s="9"/>
      <c r="Y538" s="9"/>
    </row>
    <row r="539" spans="1:25" ht="15.75" customHeight="1" x14ac:dyDescent="0.35">
      <c r="A539" s="6"/>
      <c r="E539" s="9"/>
      <c r="F539" s="9"/>
      <c r="G539" s="9"/>
      <c r="M539" s="26"/>
      <c r="N539" s="26"/>
      <c r="O539" s="9"/>
      <c r="P539" s="9"/>
      <c r="W539" s="9"/>
      <c r="X539" s="9"/>
      <c r="Y539" s="9"/>
    </row>
    <row r="540" spans="1:25" ht="15.75" customHeight="1" x14ac:dyDescent="0.35">
      <c r="A540" s="6"/>
      <c r="E540" s="9"/>
      <c r="F540" s="9"/>
      <c r="G540" s="9"/>
      <c r="M540" s="26"/>
      <c r="N540" s="26"/>
      <c r="O540" s="9"/>
      <c r="P540" s="9"/>
      <c r="W540" s="9"/>
      <c r="X540" s="9"/>
      <c r="Y540" s="9"/>
    </row>
    <row r="541" spans="1:25" ht="15.75" customHeight="1" x14ac:dyDescent="0.35">
      <c r="A541" s="6"/>
      <c r="E541" s="9"/>
      <c r="F541" s="9"/>
      <c r="G541" s="9"/>
      <c r="M541" s="26"/>
      <c r="N541" s="26"/>
      <c r="O541" s="9"/>
      <c r="P541" s="9"/>
      <c r="W541" s="9"/>
      <c r="X541" s="9"/>
      <c r="Y541" s="9"/>
    </row>
    <row r="542" spans="1:25" ht="15.75" customHeight="1" x14ac:dyDescent="0.35">
      <c r="A542" s="6"/>
      <c r="E542" s="9"/>
      <c r="F542" s="9"/>
      <c r="G542" s="9"/>
      <c r="M542" s="26"/>
      <c r="N542" s="26"/>
      <c r="O542" s="9"/>
      <c r="P542" s="9"/>
      <c r="W542" s="9"/>
      <c r="X542" s="9"/>
      <c r="Y542" s="9"/>
    </row>
    <row r="543" spans="1:25" ht="15.75" customHeight="1" x14ac:dyDescent="0.35">
      <c r="A543" s="6"/>
      <c r="E543" s="9"/>
      <c r="F543" s="9"/>
      <c r="G543" s="9"/>
      <c r="M543" s="26"/>
      <c r="N543" s="26"/>
      <c r="O543" s="9"/>
      <c r="P543" s="9"/>
      <c r="W543" s="9"/>
      <c r="X543" s="9"/>
      <c r="Y543" s="9"/>
    </row>
    <row r="544" spans="1:25" ht="15.75" customHeight="1" x14ac:dyDescent="0.35">
      <c r="A544" s="6"/>
      <c r="E544" s="9"/>
      <c r="F544" s="9"/>
      <c r="G544" s="9"/>
      <c r="M544" s="26"/>
      <c r="N544" s="26"/>
      <c r="O544" s="9"/>
      <c r="P544" s="9"/>
      <c r="W544" s="9"/>
      <c r="X544" s="9"/>
      <c r="Y544" s="9"/>
    </row>
    <row r="545" spans="1:25" ht="15.75" customHeight="1" x14ac:dyDescent="0.35">
      <c r="A545" s="6"/>
      <c r="E545" s="9"/>
      <c r="F545" s="9"/>
      <c r="G545" s="9"/>
      <c r="M545" s="26"/>
      <c r="N545" s="26"/>
      <c r="O545" s="9"/>
      <c r="P545" s="9"/>
      <c r="W545" s="9"/>
      <c r="X545" s="9"/>
      <c r="Y545" s="9"/>
    </row>
    <row r="546" spans="1:25" ht="15.75" customHeight="1" x14ac:dyDescent="0.35">
      <c r="A546" s="6"/>
      <c r="E546" s="9"/>
      <c r="F546" s="9"/>
      <c r="G546" s="9"/>
      <c r="M546" s="26"/>
      <c r="N546" s="26"/>
      <c r="O546" s="9"/>
      <c r="P546" s="9"/>
      <c r="W546" s="9"/>
      <c r="X546" s="9"/>
      <c r="Y546" s="9"/>
    </row>
    <row r="547" spans="1:25" ht="15.75" customHeight="1" x14ac:dyDescent="0.35">
      <c r="A547" s="6"/>
      <c r="E547" s="9"/>
      <c r="F547" s="9"/>
      <c r="G547" s="9"/>
      <c r="M547" s="26"/>
      <c r="N547" s="26"/>
      <c r="O547" s="9"/>
      <c r="P547" s="9"/>
      <c r="W547" s="9"/>
      <c r="X547" s="9"/>
      <c r="Y547" s="9"/>
    </row>
    <row r="548" spans="1:25" ht="15.75" customHeight="1" x14ac:dyDescent="0.35">
      <c r="A548" s="6"/>
      <c r="E548" s="9"/>
      <c r="F548" s="9"/>
      <c r="G548" s="9"/>
      <c r="M548" s="26"/>
      <c r="N548" s="26"/>
      <c r="O548" s="9"/>
      <c r="P548" s="9"/>
      <c r="W548" s="9"/>
      <c r="X548" s="9"/>
      <c r="Y548" s="9"/>
    </row>
    <row r="549" spans="1:25" ht="15.75" customHeight="1" x14ac:dyDescent="0.35">
      <c r="A549" s="6"/>
      <c r="E549" s="9"/>
      <c r="F549" s="9"/>
      <c r="G549" s="9"/>
      <c r="M549" s="26"/>
      <c r="N549" s="26"/>
      <c r="O549" s="9"/>
      <c r="P549" s="9"/>
      <c r="W549" s="9"/>
      <c r="X549" s="9"/>
      <c r="Y549" s="9"/>
    </row>
    <row r="550" spans="1:25" ht="15.75" customHeight="1" x14ac:dyDescent="0.35">
      <c r="A550" s="6"/>
      <c r="E550" s="9"/>
      <c r="F550" s="9"/>
      <c r="G550" s="9"/>
      <c r="M550" s="26"/>
      <c r="N550" s="26"/>
      <c r="O550" s="9"/>
      <c r="P550" s="9"/>
      <c r="W550" s="9"/>
      <c r="X550" s="9"/>
      <c r="Y550" s="9"/>
    </row>
    <row r="551" spans="1:25" ht="15.75" customHeight="1" x14ac:dyDescent="0.35">
      <c r="A551" s="6"/>
      <c r="E551" s="9"/>
      <c r="F551" s="9"/>
      <c r="G551" s="9"/>
      <c r="M551" s="26"/>
      <c r="N551" s="26"/>
      <c r="O551" s="9"/>
      <c r="P551" s="9"/>
      <c r="W551" s="9"/>
      <c r="X551" s="9"/>
      <c r="Y551" s="9"/>
    </row>
    <row r="552" spans="1:25" ht="15.75" customHeight="1" x14ac:dyDescent="0.35">
      <c r="A552" s="6"/>
      <c r="E552" s="9"/>
      <c r="F552" s="9"/>
      <c r="G552" s="9"/>
      <c r="M552" s="26"/>
      <c r="N552" s="26"/>
      <c r="O552" s="9"/>
      <c r="P552" s="9"/>
      <c r="W552" s="9"/>
      <c r="X552" s="9"/>
      <c r="Y552" s="9"/>
    </row>
    <row r="553" spans="1:25" ht="15.75" customHeight="1" x14ac:dyDescent="0.35">
      <c r="A553" s="6"/>
      <c r="E553" s="9"/>
      <c r="F553" s="9"/>
      <c r="G553" s="9"/>
      <c r="M553" s="26"/>
      <c r="N553" s="26"/>
      <c r="O553" s="9"/>
      <c r="P553" s="9"/>
      <c r="W553" s="9"/>
      <c r="X553" s="9"/>
      <c r="Y553" s="9"/>
    </row>
    <row r="554" spans="1:25" ht="15.75" customHeight="1" x14ac:dyDescent="0.35">
      <c r="A554" s="6"/>
      <c r="E554" s="9"/>
      <c r="F554" s="9"/>
      <c r="G554" s="9"/>
      <c r="M554" s="26"/>
      <c r="N554" s="26"/>
      <c r="O554" s="9"/>
      <c r="P554" s="9"/>
      <c r="W554" s="9"/>
      <c r="X554" s="9"/>
      <c r="Y554" s="9"/>
    </row>
    <row r="555" spans="1:25" ht="15.75" customHeight="1" x14ac:dyDescent="0.35">
      <c r="A555" s="6"/>
      <c r="E555" s="9"/>
      <c r="F555" s="9"/>
      <c r="G555" s="9"/>
      <c r="M555" s="26"/>
      <c r="N555" s="26"/>
      <c r="O555" s="9"/>
      <c r="P555" s="9"/>
      <c r="W555" s="9"/>
      <c r="X555" s="9"/>
      <c r="Y555" s="9"/>
    </row>
    <row r="556" spans="1:25" ht="15.75" customHeight="1" x14ac:dyDescent="0.35">
      <c r="A556" s="6"/>
      <c r="E556" s="9"/>
      <c r="F556" s="9"/>
      <c r="G556" s="9"/>
      <c r="M556" s="26"/>
      <c r="N556" s="26"/>
      <c r="O556" s="9"/>
      <c r="P556" s="9"/>
      <c r="W556" s="9"/>
      <c r="X556" s="9"/>
      <c r="Y556" s="9"/>
    </row>
    <row r="557" spans="1:25" ht="15.75" customHeight="1" x14ac:dyDescent="0.35">
      <c r="A557" s="6"/>
      <c r="E557" s="9"/>
      <c r="F557" s="9"/>
      <c r="G557" s="9"/>
      <c r="M557" s="26"/>
      <c r="N557" s="26"/>
      <c r="O557" s="9"/>
      <c r="P557" s="9"/>
      <c r="W557" s="9"/>
      <c r="X557" s="9"/>
      <c r="Y557" s="9"/>
    </row>
    <row r="558" spans="1:25" ht="15.75" customHeight="1" x14ac:dyDescent="0.35">
      <c r="A558" s="6"/>
      <c r="E558" s="9"/>
      <c r="F558" s="9"/>
      <c r="G558" s="9"/>
      <c r="M558" s="26"/>
      <c r="N558" s="26"/>
      <c r="O558" s="9"/>
      <c r="P558" s="9"/>
      <c r="W558" s="9"/>
      <c r="X558" s="9"/>
      <c r="Y558" s="9"/>
    </row>
    <row r="559" spans="1:25" ht="15.75" customHeight="1" x14ac:dyDescent="0.35">
      <c r="A559" s="6"/>
      <c r="E559" s="9"/>
      <c r="F559" s="9"/>
      <c r="G559" s="9"/>
      <c r="M559" s="26"/>
      <c r="N559" s="26"/>
      <c r="O559" s="9"/>
      <c r="P559" s="9"/>
      <c r="W559" s="9"/>
      <c r="X559" s="9"/>
      <c r="Y559" s="9"/>
    </row>
    <row r="560" spans="1:25" ht="15.75" customHeight="1" x14ac:dyDescent="0.35">
      <c r="A560" s="6"/>
      <c r="E560" s="9"/>
      <c r="F560" s="9"/>
      <c r="G560" s="9"/>
      <c r="M560" s="26"/>
      <c r="N560" s="26"/>
      <c r="O560" s="9"/>
      <c r="P560" s="9"/>
      <c r="W560" s="9"/>
      <c r="X560" s="9"/>
      <c r="Y560" s="9"/>
    </row>
    <row r="561" spans="1:25" ht="15.75" customHeight="1" x14ac:dyDescent="0.35">
      <c r="A561" s="6"/>
      <c r="E561" s="9"/>
      <c r="F561" s="9"/>
      <c r="G561" s="9"/>
      <c r="M561" s="26"/>
      <c r="N561" s="26"/>
      <c r="O561" s="9"/>
      <c r="P561" s="9"/>
      <c r="W561" s="9"/>
      <c r="X561" s="9"/>
      <c r="Y561" s="9"/>
    </row>
    <row r="562" spans="1:25" ht="15.75" customHeight="1" x14ac:dyDescent="0.35">
      <c r="A562" s="6"/>
      <c r="E562" s="9"/>
      <c r="F562" s="9"/>
      <c r="G562" s="9"/>
      <c r="M562" s="26"/>
      <c r="N562" s="26"/>
      <c r="O562" s="9"/>
      <c r="P562" s="9"/>
      <c r="W562" s="9"/>
      <c r="X562" s="9"/>
      <c r="Y562" s="9"/>
    </row>
    <row r="563" spans="1:25" ht="15.75" customHeight="1" x14ac:dyDescent="0.35">
      <c r="A563" s="6"/>
      <c r="E563" s="9"/>
      <c r="F563" s="9"/>
      <c r="G563" s="9"/>
      <c r="M563" s="26"/>
      <c r="N563" s="26"/>
      <c r="O563" s="9"/>
      <c r="P563" s="9"/>
      <c r="W563" s="9"/>
      <c r="X563" s="9"/>
      <c r="Y563" s="9"/>
    </row>
    <row r="564" spans="1:25" ht="15.75" customHeight="1" x14ac:dyDescent="0.35">
      <c r="A564" s="6"/>
      <c r="E564" s="9"/>
      <c r="F564" s="9"/>
      <c r="G564" s="9"/>
      <c r="M564" s="26"/>
      <c r="N564" s="26"/>
      <c r="O564" s="9"/>
      <c r="P564" s="9"/>
      <c r="W564" s="9"/>
      <c r="X564" s="9"/>
      <c r="Y564" s="9"/>
    </row>
    <row r="565" spans="1:25" ht="15.75" customHeight="1" x14ac:dyDescent="0.35">
      <c r="A565" s="6"/>
      <c r="E565" s="9"/>
      <c r="F565" s="9"/>
      <c r="G565" s="9"/>
      <c r="M565" s="26"/>
      <c r="N565" s="26"/>
      <c r="O565" s="9"/>
      <c r="P565" s="9"/>
      <c r="W565" s="9"/>
      <c r="X565" s="9"/>
      <c r="Y565" s="9"/>
    </row>
    <row r="566" spans="1:25" ht="15.75" customHeight="1" x14ac:dyDescent="0.35">
      <c r="A566" s="6"/>
      <c r="E566" s="9"/>
      <c r="F566" s="9"/>
      <c r="G566" s="9"/>
      <c r="M566" s="26"/>
      <c r="N566" s="26"/>
      <c r="O566" s="9"/>
      <c r="P566" s="9"/>
      <c r="W566" s="9"/>
      <c r="X566" s="9"/>
      <c r="Y566" s="9"/>
    </row>
    <row r="567" spans="1:25" ht="15.75" customHeight="1" x14ac:dyDescent="0.35">
      <c r="A567" s="6"/>
      <c r="E567" s="9"/>
      <c r="F567" s="9"/>
      <c r="G567" s="9"/>
      <c r="M567" s="26"/>
      <c r="N567" s="26"/>
      <c r="O567" s="9"/>
      <c r="P567" s="9"/>
      <c r="W567" s="9"/>
      <c r="X567" s="9"/>
      <c r="Y567" s="9"/>
    </row>
    <row r="568" spans="1:25" ht="15.75" customHeight="1" x14ac:dyDescent="0.35">
      <c r="A568" s="6"/>
      <c r="E568" s="9"/>
      <c r="F568" s="9"/>
      <c r="G568" s="9"/>
      <c r="M568" s="26"/>
      <c r="N568" s="26"/>
      <c r="O568" s="9"/>
      <c r="P568" s="9"/>
      <c r="W568" s="9"/>
      <c r="X568" s="9"/>
      <c r="Y568" s="9"/>
    </row>
    <row r="569" spans="1:25" ht="15.75" customHeight="1" x14ac:dyDescent="0.35">
      <c r="A569" s="6"/>
      <c r="E569" s="9"/>
      <c r="F569" s="9"/>
      <c r="G569" s="9"/>
      <c r="M569" s="26"/>
      <c r="N569" s="26"/>
      <c r="O569" s="9"/>
      <c r="P569" s="9"/>
      <c r="W569" s="9"/>
      <c r="X569" s="9"/>
      <c r="Y569" s="9"/>
    </row>
    <row r="570" spans="1:25" ht="15.75" customHeight="1" x14ac:dyDescent="0.35">
      <c r="A570" s="6"/>
      <c r="E570" s="9"/>
      <c r="F570" s="9"/>
      <c r="G570" s="9"/>
      <c r="M570" s="26"/>
      <c r="N570" s="26"/>
      <c r="O570" s="9"/>
      <c r="P570" s="9"/>
      <c r="W570" s="9"/>
      <c r="X570" s="9"/>
      <c r="Y570" s="9"/>
    </row>
    <row r="571" spans="1:25" ht="15.75" customHeight="1" x14ac:dyDescent="0.35">
      <c r="A571" s="6"/>
      <c r="E571" s="9"/>
      <c r="F571" s="9"/>
      <c r="G571" s="9"/>
      <c r="M571" s="26"/>
      <c r="N571" s="26"/>
      <c r="O571" s="9"/>
      <c r="P571" s="9"/>
      <c r="W571" s="9"/>
      <c r="X571" s="9"/>
      <c r="Y571" s="9"/>
    </row>
    <row r="572" spans="1:25" ht="15.75" customHeight="1" x14ac:dyDescent="0.35">
      <c r="A572" s="6"/>
      <c r="E572" s="9"/>
      <c r="F572" s="9"/>
      <c r="G572" s="9"/>
      <c r="M572" s="26"/>
      <c r="N572" s="26"/>
      <c r="O572" s="9"/>
      <c r="P572" s="9"/>
      <c r="W572" s="9"/>
      <c r="X572" s="9"/>
      <c r="Y572" s="9"/>
    </row>
    <row r="573" spans="1:25" ht="15.75" customHeight="1" x14ac:dyDescent="0.35">
      <c r="A573" s="6"/>
      <c r="E573" s="9"/>
      <c r="F573" s="9"/>
      <c r="G573" s="9"/>
      <c r="M573" s="26"/>
      <c r="N573" s="26"/>
      <c r="O573" s="9"/>
      <c r="P573" s="9"/>
      <c r="W573" s="9"/>
      <c r="X573" s="9"/>
      <c r="Y573" s="9"/>
    </row>
    <row r="574" spans="1:25" ht="15.75" customHeight="1" x14ac:dyDescent="0.35">
      <c r="A574" s="6"/>
      <c r="E574" s="9"/>
      <c r="F574" s="9"/>
      <c r="G574" s="9"/>
      <c r="M574" s="26"/>
      <c r="N574" s="26"/>
      <c r="O574" s="9"/>
      <c r="P574" s="9"/>
      <c r="W574" s="9"/>
      <c r="X574" s="9"/>
      <c r="Y574" s="9"/>
    </row>
    <row r="575" spans="1:25" ht="15.75" customHeight="1" x14ac:dyDescent="0.35">
      <c r="A575" s="6"/>
      <c r="E575" s="9"/>
      <c r="F575" s="9"/>
      <c r="G575" s="9"/>
      <c r="M575" s="26"/>
      <c r="N575" s="26"/>
      <c r="O575" s="9"/>
      <c r="P575" s="9"/>
      <c r="W575" s="9"/>
      <c r="X575" s="9"/>
      <c r="Y575" s="9"/>
    </row>
    <row r="576" spans="1:25" ht="15.75" customHeight="1" x14ac:dyDescent="0.35">
      <c r="A576" s="6"/>
      <c r="E576" s="9"/>
      <c r="F576" s="9"/>
      <c r="G576" s="9"/>
      <c r="M576" s="26"/>
      <c r="N576" s="26"/>
      <c r="O576" s="9"/>
      <c r="P576" s="9"/>
      <c r="W576" s="9"/>
      <c r="X576" s="9"/>
      <c r="Y576" s="9"/>
    </row>
    <row r="577" spans="1:25" ht="15.75" customHeight="1" x14ac:dyDescent="0.35">
      <c r="A577" s="6"/>
      <c r="E577" s="9"/>
      <c r="F577" s="9"/>
      <c r="G577" s="9"/>
      <c r="M577" s="26"/>
      <c r="N577" s="26"/>
      <c r="O577" s="9"/>
      <c r="P577" s="9"/>
      <c r="W577" s="9"/>
      <c r="X577" s="9"/>
      <c r="Y577" s="9"/>
    </row>
    <row r="578" spans="1:25" ht="15.75" customHeight="1" x14ac:dyDescent="0.35">
      <c r="A578" s="6"/>
      <c r="E578" s="9"/>
      <c r="F578" s="9"/>
      <c r="G578" s="9"/>
      <c r="M578" s="26"/>
      <c r="N578" s="26"/>
      <c r="O578" s="9"/>
      <c r="P578" s="9"/>
      <c r="W578" s="9"/>
      <c r="X578" s="9"/>
      <c r="Y578" s="9"/>
    </row>
    <row r="579" spans="1:25" ht="15.75" customHeight="1" x14ac:dyDescent="0.35">
      <c r="A579" s="6"/>
      <c r="E579" s="9"/>
      <c r="F579" s="9"/>
      <c r="G579" s="9"/>
      <c r="M579" s="26"/>
      <c r="N579" s="26"/>
      <c r="O579" s="9"/>
      <c r="P579" s="9"/>
      <c r="W579" s="9"/>
      <c r="X579" s="9"/>
      <c r="Y579" s="9"/>
    </row>
    <row r="580" spans="1:25" ht="15.75" customHeight="1" x14ac:dyDescent="0.35">
      <c r="A580" s="6"/>
      <c r="E580" s="9"/>
      <c r="F580" s="9"/>
      <c r="G580" s="9"/>
      <c r="M580" s="26"/>
      <c r="N580" s="26"/>
      <c r="O580" s="9"/>
      <c r="P580" s="9"/>
      <c r="W580" s="9"/>
      <c r="X580" s="9"/>
      <c r="Y580" s="9"/>
    </row>
    <row r="581" spans="1:25" ht="15.75" customHeight="1" x14ac:dyDescent="0.35">
      <c r="A581" s="6"/>
      <c r="E581" s="9"/>
      <c r="F581" s="9"/>
      <c r="G581" s="9"/>
      <c r="M581" s="26"/>
      <c r="N581" s="26"/>
      <c r="O581" s="9"/>
      <c r="P581" s="9"/>
      <c r="W581" s="9"/>
      <c r="X581" s="9"/>
      <c r="Y581" s="9"/>
    </row>
    <row r="582" spans="1:25" ht="15.75" customHeight="1" x14ac:dyDescent="0.35">
      <c r="A582" s="6"/>
      <c r="E582" s="9"/>
      <c r="F582" s="9"/>
      <c r="G582" s="9"/>
      <c r="M582" s="26"/>
      <c r="N582" s="26"/>
      <c r="O582" s="9"/>
      <c r="P582" s="9"/>
      <c r="W582" s="9"/>
      <c r="X582" s="9"/>
      <c r="Y582" s="9"/>
    </row>
    <row r="583" spans="1:25" ht="15.75" customHeight="1" x14ac:dyDescent="0.35">
      <c r="A583" s="6"/>
      <c r="E583" s="9"/>
      <c r="F583" s="9"/>
      <c r="G583" s="9"/>
      <c r="M583" s="26"/>
      <c r="N583" s="26"/>
      <c r="O583" s="9"/>
      <c r="P583" s="9"/>
      <c r="W583" s="9"/>
      <c r="X583" s="9"/>
      <c r="Y583" s="9"/>
    </row>
    <row r="584" spans="1:25" ht="15.75" customHeight="1" x14ac:dyDescent="0.35">
      <c r="A584" s="6"/>
      <c r="E584" s="9"/>
      <c r="F584" s="9"/>
      <c r="G584" s="9"/>
      <c r="M584" s="26"/>
      <c r="N584" s="26"/>
      <c r="O584" s="9"/>
      <c r="P584" s="9"/>
      <c r="W584" s="9"/>
      <c r="X584" s="9"/>
      <c r="Y584" s="9"/>
    </row>
    <row r="585" spans="1:25" ht="15.75" customHeight="1" x14ac:dyDescent="0.35">
      <c r="A585" s="6"/>
      <c r="E585" s="9"/>
      <c r="F585" s="9"/>
      <c r="G585" s="9"/>
      <c r="M585" s="26"/>
      <c r="N585" s="26"/>
      <c r="O585" s="9"/>
      <c r="P585" s="9"/>
      <c r="W585" s="9"/>
      <c r="X585" s="9"/>
      <c r="Y585" s="9"/>
    </row>
    <row r="586" spans="1:25" ht="15.75" customHeight="1" x14ac:dyDescent="0.35">
      <c r="A586" s="6"/>
      <c r="E586" s="9"/>
      <c r="F586" s="9"/>
      <c r="G586" s="9"/>
      <c r="M586" s="26"/>
      <c r="N586" s="26"/>
      <c r="O586" s="9"/>
      <c r="P586" s="9"/>
      <c r="W586" s="9"/>
      <c r="X586" s="9"/>
      <c r="Y586" s="9"/>
    </row>
    <row r="587" spans="1:25" ht="15.75" customHeight="1" x14ac:dyDescent="0.35">
      <c r="A587" s="6"/>
      <c r="E587" s="9"/>
      <c r="F587" s="9"/>
      <c r="G587" s="9"/>
      <c r="M587" s="26"/>
      <c r="N587" s="26"/>
      <c r="O587" s="9"/>
      <c r="P587" s="9"/>
      <c r="W587" s="9"/>
      <c r="X587" s="9"/>
      <c r="Y587" s="9"/>
    </row>
    <row r="588" spans="1:25" ht="15.75" customHeight="1" x14ac:dyDescent="0.35">
      <c r="A588" s="6"/>
      <c r="E588" s="9"/>
      <c r="F588" s="9"/>
      <c r="G588" s="9"/>
      <c r="M588" s="26"/>
      <c r="N588" s="26"/>
      <c r="O588" s="9"/>
      <c r="P588" s="9"/>
      <c r="W588" s="9"/>
      <c r="X588" s="9"/>
      <c r="Y588" s="9"/>
    </row>
    <row r="589" spans="1:25" ht="15.75" customHeight="1" x14ac:dyDescent="0.35">
      <c r="A589" s="6"/>
      <c r="E589" s="9"/>
      <c r="F589" s="9"/>
      <c r="G589" s="9"/>
      <c r="M589" s="26"/>
      <c r="N589" s="26"/>
      <c r="O589" s="9"/>
      <c r="P589" s="9"/>
      <c r="W589" s="9"/>
      <c r="X589" s="9"/>
      <c r="Y589" s="9"/>
    </row>
    <row r="590" spans="1:25" ht="15.75" customHeight="1" x14ac:dyDescent="0.35">
      <c r="A590" s="6"/>
      <c r="E590" s="9"/>
      <c r="F590" s="9"/>
      <c r="G590" s="9"/>
      <c r="M590" s="26"/>
      <c r="N590" s="26"/>
      <c r="O590" s="9"/>
      <c r="P590" s="9"/>
      <c r="W590" s="9"/>
      <c r="X590" s="9"/>
      <c r="Y590" s="9"/>
    </row>
    <row r="591" spans="1:25" ht="15.75" customHeight="1" x14ac:dyDescent="0.35">
      <c r="A591" s="6"/>
      <c r="E591" s="9"/>
      <c r="F591" s="9"/>
      <c r="G591" s="9"/>
      <c r="M591" s="26"/>
      <c r="N591" s="26"/>
      <c r="O591" s="9"/>
      <c r="P591" s="9"/>
      <c r="W591" s="9"/>
      <c r="X591" s="9"/>
      <c r="Y591" s="9"/>
    </row>
    <row r="592" spans="1:25" ht="15.75" customHeight="1" x14ac:dyDescent="0.35">
      <c r="A592" s="6"/>
      <c r="E592" s="9"/>
      <c r="F592" s="9"/>
      <c r="G592" s="9"/>
      <c r="M592" s="26"/>
      <c r="N592" s="26"/>
      <c r="O592" s="9"/>
      <c r="P592" s="9"/>
      <c r="W592" s="9"/>
      <c r="X592" s="9"/>
      <c r="Y592" s="9"/>
    </row>
    <row r="593" spans="1:25" ht="15.75" customHeight="1" x14ac:dyDescent="0.35">
      <c r="A593" s="6"/>
      <c r="E593" s="9"/>
      <c r="F593" s="9"/>
      <c r="G593" s="9"/>
      <c r="M593" s="26"/>
      <c r="N593" s="26"/>
      <c r="O593" s="9"/>
      <c r="P593" s="9"/>
      <c r="W593" s="9"/>
      <c r="X593" s="9"/>
      <c r="Y593" s="9"/>
    </row>
    <row r="594" spans="1:25" ht="15.75" customHeight="1" x14ac:dyDescent="0.35">
      <c r="A594" s="6"/>
      <c r="E594" s="9"/>
      <c r="F594" s="9"/>
      <c r="G594" s="9"/>
      <c r="M594" s="26"/>
      <c r="N594" s="26"/>
      <c r="O594" s="9"/>
      <c r="P594" s="9"/>
      <c r="W594" s="9"/>
      <c r="X594" s="9"/>
      <c r="Y594" s="9"/>
    </row>
    <row r="595" spans="1:25" ht="15.75" customHeight="1" x14ac:dyDescent="0.35">
      <c r="A595" s="6"/>
      <c r="E595" s="9"/>
      <c r="F595" s="9"/>
      <c r="G595" s="9"/>
      <c r="M595" s="26"/>
      <c r="N595" s="26"/>
      <c r="O595" s="9"/>
      <c r="P595" s="9"/>
      <c r="W595" s="9"/>
      <c r="X595" s="9"/>
      <c r="Y595" s="9"/>
    </row>
    <row r="596" spans="1:25" ht="15.75" customHeight="1" x14ac:dyDescent="0.35">
      <c r="A596" s="6"/>
      <c r="E596" s="9"/>
      <c r="F596" s="9"/>
      <c r="G596" s="9"/>
      <c r="M596" s="26"/>
      <c r="N596" s="26"/>
      <c r="O596" s="9"/>
      <c r="P596" s="9"/>
      <c r="W596" s="9"/>
      <c r="X596" s="9"/>
      <c r="Y596" s="9"/>
    </row>
    <row r="597" spans="1:25" ht="15.75" customHeight="1" x14ac:dyDescent="0.35">
      <c r="A597" s="6"/>
      <c r="E597" s="9"/>
      <c r="F597" s="9"/>
      <c r="G597" s="9"/>
      <c r="M597" s="26"/>
      <c r="N597" s="26"/>
      <c r="O597" s="9"/>
      <c r="P597" s="9"/>
      <c r="W597" s="9"/>
      <c r="X597" s="9"/>
      <c r="Y597" s="9"/>
    </row>
    <row r="598" spans="1:25" ht="15.75" customHeight="1" x14ac:dyDescent="0.35">
      <c r="A598" s="6"/>
      <c r="E598" s="9"/>
      <c r="F598" s="9"/>
      <c r="G598" s="9"/>
      <c r="M598" s="26"/>
      <c r="N598" s="26"/>
      <c r="O598" s="9"/>
      <c r="P598" s="9"/>
      <c r="W598" s="9"/>
      <c r="X598" s="9"/>
      <c r="Y598" s="9"/>
    </row>
    <row r="599" spans="1:25" ht="15.75" customHeight="1" x14ac:dyDescent="0.35">
      <c r="A599" s="6"/>
      <c r="E599" s="9"/>
      <c r="F599" s="9"/>
      <c r="G599" s="9"/>
      <c r="M599" s="26"/>
      <c r="N599" s="26"/>
      <c r="O599" s="9"/>
      <c r="P599" s="9"/>
      <c r="W599" s="9"/>
      <c r="X599" s="9"/>
      <c r="Y599" s="9"/>
    </row>
    <row r="600" spans="1:25" ht="15.75" customHeight="1" x14ac:dyDescent="0.35">
      <c r="A600" s="6"/>
      <c r="E600" s="9"/>
      <c r="F600" s="9"/>
      <c r="G600" s="9"/>
      <c r="M600" s="26"/>
      <c r="N600" s="26"/>
      <c r="O600" s="9"/>
      <c r="P600" s="9"/>
      <c r="W600" s="9"/>
      <c r="X600" s="9"/>
      <c r="Y600" s="9"/>
    </row>
    <row r="601" spans="1:25" ht="15.75" customHeight="1" x14ac:dyDescent="0.35">
      <c r="A601" s="6"/>
      <c r="E601" s="9"/>
      <c r="F601" s="9"/>
      <c r="G601" s="9"/>
      <c r="M601" s="26"/>
      <c r="N601" s="26"/>
      <c r="O601" s="9"/>
      <c r="P601" s="9"/>
      <c r="W601" s="9"/>
      <c r="X601" s="9"/>
      <c r="Y601" s="9"/>
    </row>
    <row r="602" spans="1:25" ht="15.75" customHeight="1" x14ac:dyDescent="0.35">
      <c r="A602" s="6"/>
      <c r="E602" s="9"/>
      <c r="F602" s="9"/>
      <c r="G602" s="9"/>
      <c r="M602" s="26"/>
      <c r="N602" s="26"/>
      <c r="O602" s="9"/>
      <c r="P602" s="9"/>
      <c r="W602" s="9"/>
      <c r="X602" s="9"/>
      <c r="Y602" s="9"/>
    </row>
    <row r="603" spans="1:25" ht="15.75" customHeight="1" x14ac:dyDescent="0.35">
      <c r="A603" s="6"/>
      <c r="E603" s="9"/>
      <c r="F603" s="9"/>
      <c r="G603" s="9"/>
      <c r="M603" s="26"/>
      <c r="N603" s="26"/>
      <c r="O603" s="9"/>
      <c r="P603" s="9"/>
      <c r="W603" s="9"/>
      <c r="X603" s="9"/>
      <c r="Y603" s="9"/>
    </row>
    <row r="604" spans="1:25" ht="15.75" customHeight="1" x14ac:dyDescent="0.35">
      <c r="A604" s="6"/>
      <c r="E604" s="9"/>
      <c r="F604" s="9"/>
      <c r="G604" s="9"/>
      <c r="M604" s="26"/>
      <c r="N604" s="26"/>
      <c r="O604" s="9"/>
      <c r="P604" s="9"/>
      <c r="W604" s="9"/>
      <c r="X604" s="9"/>
      <c r="Y604" s="9"/>
    </row>
    <row r="605" spans="1:25" ht="15.75" customHeight="1" x14ac:dyDescent="0.35">
      <c r="A605" s="6"/>
      <c r="E605" s="9"/>
      <c r="F605" s="9"/>
      <c r="G605" s="9"/>
      <c r="M605" s="26"/>
      <c r="N605" s="26"/>
      <c r="O605" s="9"/>
      <c r="P605" s="9"/>
      <c r="W605" s="9"/>
      <c r="X605" s="9"/>
      <c r="Y605" s="9"/>
    </row>
    <row r="606" spans="1:25" ht="15.75" customHeight="1" x14ac:dyDescent="0.35">
      <c r="A606" s="6"/>
      <c r="E606" s="9"/>
      <c r="F606" s="9"/>
      <c r="G606" s="9"/>
      <c r="M606" s="26"/>
      <c r="N606" s="26"/>
      <c r="O606" s="9"/>
      <c r="P606" s="9"/>
      <c r="W606" s="9"/>
      <c r="X606" s="9"/>
      <c r="Y606" s="9"/>
    </row>
    <row r="607" spans="1:25" ht="15.75" customHeight="1" x14ac:dyDescent="0.35">
      <c r="A607" s="6"/>
      <c r="E607" s="9"/>
      <c r="F607" s="9"/>
      <c r="G607" s="9"/>
      <c r="M607" s="26"/>
      <c r="N607" s="26"/>
      <c r="O607" s="9"/>
      <c r="P607" s="9"/>
      <c r="W607" s="9"/>
      <c r="X607" s="9"/>
      <c r="Y607" s="9"/>
    </row>
    <row r="608" spans="1:25" ht="15.75" customHeight="1" x14ac:dyDescent="0.35">
      <c r="A608" s="6"/>
      <c r="E608" s="9"/>
      <c r="F608" s="9"/>
      <c r="G608" s="9"/>
      <c r="M608" s="26"/>
      <c r="N608" s="26"/>
      <c r="O608" s="9"/>
      <c r="P608" s="9"/>
      <c r="W608" s="9"/>
      <c r="X608" s="9"/>
      <c r="Y608" s="9"/>
    </row>
    <row r="609" spans="1:25" ht="15.75" customHeight="1" x14ac:dyDescent="0.35">
      <c r="A609" s="6"/>
      <c r="E609" s="9"/>
      <c r="F609" s="9"/>
      <c r="G609" s="9"/>
      <c r="M609" s="26"/>
      <c r="N609" s="26"/>
      <c r="O609" s="9"/>
      <c r="P609" s="9"/>
      <c r="W609" s="9"/>
      <c r="X609" s="9"/>
      <c r="Y609" s="9"/>
    </row>
    <row r="610" spans="1:25" ht="15.75" customHeight="1" x14ac:dyDescent="0.35">
      <c r="A610" s="6"/>
      <c r="E610" s="9"/>
      <c r="F610" s="9"/>
      <c r="G610" s="9"/>
      <c r="M610" s="26"/>
      <c r="N610" s="26"/>
      <c r="O610" s="9"/>
      <c r="P610" s="9"/>
      <c r="W610" s="9"/>
      <c r="X610" s="9"/>
      <c r="Y610" s="9"/>
    </row>
    <row r="611" spans="1:25" ht="15.75" customHeight="1" x14ac:dyDescent="0.35">
      <c r="A611" s="6"/>
      <c r="E611" s="9"/>
      <c r="F611" s="9"/>
      <c r="G611" s="9"/>
      <c r="M611" s="26"/>
      <c r="N611" s="26"/>
      <c r="O611" s="9"/>
      <c r="P611" s="9"/>
      <c r="W611" s="9"/>
      <c r="X611" s="9"/>
      <c r="Y611" s="9"/>
    </row>
    <row r="612" spans="1:25" ht="15.75" customHeight="1" x14ac:dyDescent="0.35">
      <c r="A612" s="6"/>
      <c r="E612" s="9"/>
      <c r="F612" s="9"/>
      <c r="G612" s="9"/>
      <c r="M612" s="26"/>
      <c r="N612" s="26"/>
      <c r="O612" s="9"/>
      <c r="P612" s="9"/>
      <c r="W612" s="9"/>
      <c r="X612" s="9"/>
      <c r="Y612" s="9"/>
    </row>
    <row r="613" spans="1:25" ht="15.75" customHeight="1" x14ac:dyDescent="0.35">
      <c r="A613" s="6"/>
      <c r="E613" s="9"/>
      <c r="F613" s="9"/>
      <c r="G613" s="9"/>
      <c r="M613" s="26"/>
      <c r="N613" s="26"/>
      <c r="O613" s="9"/>
      <c r="P613" s="9"/>
      <c r="W613" s="9"/>
      <c r="X613" s="9"/>
      <c r="Y613" s="9"/>
    </row>
    <row r="614" spans="1:25" ht="15.75" customHeight="1" x14ac:dyDescent="0.35">
      <c r="A614" s="6"/>
      <c r="E614" s="9"/>
      <c r="F614" s="9"/>
      <c r="G614" s="9"/>
      <c r="M614" s="26"/>
      <c r="N614" s="26"/>
      <c r="O614" s="9"/>
      <c r="P614" s="9"/>
      <c r="W614" s="9"/>
      <c r="X614" s="9"/>
      <c r="Y614" s="9"/>
    </row>
    <row r="615" spans="1:25" ht="15.75" customHeight="1" x14ac:dyDescent="0.35">
      <c r="A615" s="6"/>
      <c r="E615" s="9"/>
      <c r="F615" s="9"/>
      <c r="G615" s="9"/>
      <c r="M615" s="26"/>
      <c r="N615" s="26"/>
      <c r="O615" s="9"/>
      <c r="P615" s="9"/>
      <c r="W615" s="9"/>
      <c r="X615" s="9"/>
      <c r="Y615" s="9"/>
    </row>
    <row r="616" spans="1:25" ht="15.75" customHeight="1" x14ac:dyDescent="0.35">
      <c r="A616" s="6"/>
      <c r="E616" s="9"/>
      <c r="F616" s="9"/>
      <c r="G616" s="9"/>
      <c r="M616" s="26"/>
      <c r="N616" s="26"/>
      <c r="O616" s="9"/>
      <c r="P616" s="9"/>
      <c r="W616" s="9"/>
      <c r="X616" s="9"/>
      <c r="Y616" s="9"/>
    </row>
    <row r="617" spans="1:25" ht="15.75" customHeight="1" x14ac:dyDescent="0.35">
      <c r="A617" s="6"/>
      <c r="E617" s="9"/>
      <c r="F617" s="9"/>
      <c r="G617" s="9"/>
      <c r="M617" s="26"/>
      <c r="N617" s="26"/>
      <c r="O617" s="9"/>
      <c r="P617" s="9"/>
      <c r="W617" s="9"/>
      <c r="X617" s="9"/>
      <c r="Y617" s="9"/>
    </row>
    <row r="618" spans="1:25" ht="15.75" customHeight="1" x14ac:dyDescent="0.35">
      <c r="A618" s="6"/>
      <c r="E618" s="9"/>
      <c r="F618" s="9"/>
      <c r="G618" s="9"/>
      <c r="M618" s="26"/>
      <c r="N618" s="26"/>
      <c r="O618" s="9"/>
      <c r="P618" s="9"/>
      <c r="W618" s="9"/>
      <c r="X618" s="9"/>
      <c r="Y618" s="9"/>
    </row>
    <row r="619" spans="1:25" ht="15.75" customHeight="1" x14ac:dyDescent="0.35">
      <c r="A619" s="6"/>
      <c r="E619" s="9"/>
      <c r="F619" s="9"/>
      <c r="G619" s="9"/>
      <c r="M619" s="26"/>
      <c r="N619" s="26"/>
      <c r="O619" s="9"/>
      <c r="P619" s="9"/>
      <c r="W619" s="9"/>
      <c r="X619" s="9"/>
      <c r="Y619" s="9"/>
    </row>
    <row r="620" spans="1:25" ht="15.75" customHeight="1" x14ac:dyDescent="0.35">
      <c r="A620" s="6"/>
      <c r="E620" s="9"/>
      <c r="F620" s="9"/>
      <c r="G620" s="9"/>
      <c r="M620" s="26"/>
      <c r="N620" s="26"/>
      <c r="O620" s="9"/>
      <c r="P620" s="9"/>
      <c r="W620" s="9"/>
      <c r="X620" s="9"/>
      <c r="Y620" s="9"/>
    </row>
    <row r="621" spans="1:25" ht="15.75" customHeight="1" x14ac:dyDescent="0.35">
      <c r="A621" s="6"/>
      <c r="E621" s="9"/>
      <c r="F621" s="9"/>
      <c r="G621" s="9"/>
      <c r="M621" s="26"/>
      <c r="N621" s="26"/>
      <c r="O621" s="9"/>
      <c r="P621" s="9"/>
      <c r="W621" s="9"/>
      <c r="X621" s="9"/>
      <c r="Y621" s="9"/>
    </row>
    <row r="622" spans="1:25" ht="15.75" customHeight="1" x14ac:dyDescent="0.35">
      <c r="A622" s="6"/>
      <c r="E622" s="9"/>
      <c r="F622" s="9"/>
      <c r="G622" s="9"/>
      <c r="M622" s="26"/>
      <c r="N622" s="26"/>
      <c r="O622" s="9"/>
      <c r="P622" s="9"/>
      <c r="W622" s="9"/>
      <c r="X622" s="9"/>
      <c r="Y622" s="9"/>
    </row>
    <row r="623" spans="1:25" ht="15.75" customHeight="1" x14ac:dyDescent="0.35">
      <c r="A623" s="6"/>
      <c r="E623" s="9"/>
      <c r="F623" s="9"/>
      <c r="G623" s="9"/>
      <c r="M623" s="26"/>
      <c r="N623" s="26"/>
      <c r="O623" s="9"/>
      <c r="P623" s="9"/>
      <c r="W623" s="9"/>
      <c r="X623" s="9"/>
      <c r="Y623" s="9"/>
    </row>
    <row r="624" spans="1:25" ht="15.75" customHeight="1" x14ac:dyDescent="0.35">
      <c r="A624" s="6"/>
      <c r="E624" s="9"/>
      <c r="F624" s="9"/>
      <c r="G624" s="9"/>
      <c r="M624" s="26"/>
      <c r="N624" s="26"/>
      <c r="O624" s="9"/>
      <c r="P624" s="9"/>
      <c r="W624" s="9"/>
      <c r="X624" s="9"/>
      <c r="Y624" s="9"/>
    </row>
    <row r="625" spans="1:25" ht="15.75" customHeight="1" x14ac:dyDescent="0.35">
      <c r="A625" s="6"/>
      <c r="E625" s="9"/>
      <c r="F625" s="9"/>
      <c r="G625" s="9"/>
      <c r="M625" s="26"/>
      <c r="N625" s="26"/>
      <c r="O625" s="9"/>
      <c r="P625" s="9"/>
      <c r="W625" s="9"/>
      <c r="X625" s="9"/>
      <c r="Y625" s="9"/>
    </row>
    <row r="626" spans="1:25" ht="15.75" customHeight="1" x14ac:dyDescent="0.35">
      <c r="A626" s="6"/>
      <c r="E626" s="9"/>
      <c r="F626" s="9"/>
      <c r="G626" s="9"/>
      <c r="M626" s="26"/>
      <c r="N626" s="26"/>
      <c r="O626" s="9"/>
      <c r="P626" s="9"/>
      <c r="W626" s="9"/>
      <c r="X626" s="9"/>
      <c r="Y626" s="9"/>
    </row>
    <row r="627" spans="1:25" ht="15.75" customHeight="1" x14ac:dyDescent="0.35">
      <c r="A627" s="6"/>
      <c r="E627" s="9"/>
      <c r="F627" s="9"/>
      <c r="G627" s="9"/>
      <c r="M627" s="26"/>
      <c r="N627" s="26"/>
      <c r="O627" s="9"/>
      <c r="P627" s="9"/>
      <c r="W627" s="9"/>
      <c r="X627" s="9"/>
      <c r="Y627" s="9"/>
    </row>
    <row r="628" spans="1:25" ht="15.75" customHeight="1" x14ac:dyDescent="0.35">
      <c r="A628" s="6"/>
      <c r="E628" s="9"/>
      <c r="F628" s="9"/>
      <c r="G628" s="9"/>
      <c r="M628" s="26"/>
      <c r="N628" s="26"/>
      <c r="O628" s="9"/>
      <c r="P628" s="9"/>
      <c r="W628" s="9"/>
      <c r="X628" s="9"/>
      <c r="Y628" s="9"/>
    </row>
    <row r="629" spans="1:25" ht="15.75" customHeight="1" x14ac:dyDescent="0.35">
      <c r="A629" s="6"/>
      <c r="E629" s="9"/>
      <c r="F629" s="9"/>
      <c r="G629" s="9"/>
      <c r="M629" s="26"/>
      <c r="N629" s="26"/>
      <c r="O629" s="9"/>
      <c r="P629" s="9"/>
      <c r="W629" s="9"/>
      <c r="X629" s="9"/>
      <c r="Y629" s="9"/>
    </row>
    <row r="630" spans="1:25" ht="15.75" customHeight="1" x14ac:dyDescent="0.35">
      <c r="A630" s="6"/>
      <c r="E630" s="9"/>
      <c r="F630" s="9"/>
      <c r="G630" s="9"/>
      <c r="M630" s="26"/>
      <c r="N630" s="26"/>
      <c r="O630" s="9"/>
      <c r="P630" s="9"/>
      <c r="W630" s="9"/>
      <c r="X630" s="9"/>
      <c r="Y630" s="9"/>
    </row>
    <row r="631" spans="1:25" ht="15.75" customHeight="1" x14ac:dyDescent="0.35">
      <c r="A631" s="6"/>
      <c r="E631" s="9"/>
      <c r="F631" s="9"/>
      <c r="G631" s="9"/>
      <c r="M631" s="26"/>
      <c r="N631" s="26"/>
      <c r="O631" s="9"/>
      <c r="P631" s="9"/>
      <c r="W631" s="9"/>
      <c r="X631" s="9"/>
      <c r="Y631" s="9"/>
    </row>
    <row r="632" spans="1:25" ht="15.75" customHeight="1" x14ac:dyDescent="0.35">
      <c r="A632" s="6"/>
      <c r="E632" s="9"/>
      <c r="F632" s="9"/>
      <c r="G632" s="9"/>
      <c r="M632" s="26"/>
      <c r="N632" s="26"/>
      <c r="O632" s="9"/>
      <c r="P632" s="9"/>
      <c r="W632" s="9"/>
      <c r="X632" s="9"/>
      <c r="Y632" s="9"/>
    </row>
    <row r="633" spans="1:25" ht="15.75" customHeight="1" x14ac:dyDescent="0.35">
      <c r="A633" s="6"/>
      <c r="E633" s="9"/>
      <c r="F633" s="9"/>
      <c r="G633" s="9"/>
      <c r="M633" s="26"/>
      <c r="N633" s="26"/>
      <c r="O633" s="9"/>
      <c r="P633" s="9"/>
      <c r="W633" s="9"/>
      <c r="X633" s="9"/>
      <c r="Y633" s="9"/>
    </row>
    <row r="634" spans="1:25" ht="15.75" customHeight="1" x14ac:dyDescent="0.35">
      <c r="A634" s="6"/>
      <c r="E634" s="9"/>
      <c r="F634" s="9"/>
      <c r="G634" s="9"/>
      <c r="M634" s="26"/>
      <c r="N634" s="26"/>
      <c r="O634" s="9"/>
      <c r="P634" s="9"/>
      <c r="W634" s="9"/>
      <c r="X634" s="9"/>
      <c r="Y634" s="9"/>
    </row>
    <row r="635" spans="1:25" ht="15.75" customHeight="1" x14ac:dyDescent="0.35">
      <c r="A635" s="6"/>
      <c r="E635" s="9"/>
      <c r="F635" s="9"/>
      <c r="G635" s="9"/>
      <c r="M635" s="26"/>
      <c r="N635" s="26"/>
      <c r="O635" s="9"/>
      <c r="P635" s="9"/>
      <c r="W635" s="9"/>
      <c r="X635" s="9"/>
      <c r="Y635" s="9"/>
    </row>
    <row r="636" spans="1:25" ht="15.75" customHeight="1" x14ac:dyDescent="0.35">
      <c r="A636" s="6"/>
      <c r="E636" s="9"/>
      <c r="F636" s="9"/>
      <c r="G636" s="9"/>
      <c r="M636" s="26"/>
      <c r="N636" s="26"/>
      <c r="O636" s="9"/>
      <c r="P636" s="9"/>
      <c r="W636" s="9"/>
      <c r="X636" s="9"/>
      <c r="Y636" s="9"/>
    </row>
    <row r="637" spans="1:25" ht="15.75" customHeight="1" x14ac:dyDescent="0.35">
      <c r="A637" s="6"/>
      <c r="E637" s="9"/>
      <c r="F637" s="9"/>
      <c r="G637" s="9"/>
      <c r="M637" s="26"/>
      <c r="N637" s="26"/>
      <c r="O637" s="9"/>
      <c r="P637" s="9"/>
      <c r="W637" s="9"/>
      <c r="X637" s="9"/>
      <c r="Y637" s="9"/>
    </row>
    <row r="638" spans="1:25" ht="15.75" customHeight="1" x14ac:dyDescent="0.35">
      <c r="A638" s="6"/>
      <c r="E638" s="9"/>
      <c r="F638" s="9"/>
      <c r="G638" s="9"/>
      <c r="M638" s="26"/>
      <c r="N638" s="26"/>
      <c r="O638" s="9"/>
      <c r="P638" s="9"/>
      <c r="W638" s="9"/>
      <c r="X638" s="9"/>
      <c r="Y638" s="9"/>
    </row>
    <row r="639" spans="1:25" ht="15.75" customHeight="1" x14ac:dyDescent="0.35">
      <c r="A639" s="6"/>
      <c r="E639" s="9"/>
      <c r="F639" s="9"/>
      <c r="G639" s="9"/>
      <c r="M639" s="26"/>
      <c r="N639" s="26"/>
      <c r="O639" s="9"/>
      <c r="P639" s="9"/>
      <c r="W639" s="9"/>
      <c r="X639" s="9"/>
      <c r="Y639" s="9"/>
    </row>
    <row r="640" spans="1:25" ht="15.75" customHeight="1" x14ac:dyDescent="0.35">
      <c r="A640" s="6"/>
      <c r="E640" s="9"/>
      <c r="F640" s="9"/>
      <c r="G640" s="9"/>
      <c r="M640" s="26"/>
      <c r="N640" s="26"/>
      <c r="O640" s="9"/>
      <c r="P640" s="9"/>
      <c r="W640" s="9"/>
      <c r="X640" s="9"/>
      <c r="Y640" s="9"/>
    </row>
    <row r="641" spans="1:25" ht="15.75" customHeight="1" x14ac:dyDescent="0.35">
      <c r="A641" s="6"/>
      <c r="E641" s="9"/>
      <c r="F641" s="9"/>
      <c r="G641" s="9"/>
      <c r="M641" s="26"/>
      <c r="N641" s="26"/>
      <c r="O641" s="9"/>
      <c r="P641" s="9"/>
      <c r="W641" s="9"/>
      <c r="X641" s="9"/>
      <c r="Y641" s="9"/>
    </row>
    <row r="642" spans="1:25" ht="15.75" customHeight="1" x14ac:dyDescent="0.35">
      <c r="A642" s="6"/>
      <c r="E642" s="9"/>
      <c r="F642" s="9"/>
      <c r="G642" s="9"/>
      <c r="M642" s="26"/>
      <c r="N642" s="26"/>
      <c r="O642" s="9"/>
      <c r="P642" s="9"/>
      <c r="W642" s="9"/>
      <c r="X642" s="9"/>
      <c r="Y642" s="9"/>
    </row>
    <row r="643" spans="1:25" ht="15.75" customHeight="1" x14ac:dyDescent="0.35">
      <c r="A643" s="6"/>
      <c r="E643" s="9"/>
      <c r="F643" s="9"/>
      <c r="G643" s="9"/>
      <c r="M643" s="26"/>
      <c r="N643" s="26"/>
      <c r="O643" s="9"/>
      <c r="P643" s="9"/>
      <c r="W643" s="9"/>
      <c r="X643" s="9"/>
      <c r="Y643" s="9"/>
    </row>
    <row r="644" spans="1:25" ht="15.75" customHeight="1" x14ac:dyDescent="0.35">
      <c r="A644" s="6"/>
      <c r="E644" s="9"/>
      <c r="F644" s="9"/>
      <c r="G644" s="9"/>
      <c r="M644" s="26"/>
      <c r="N644" s="26"/>
      <c r="O644" s="9"/>
      <c r="P644" s="9"/>
      <c r="W644" s="9"/>
      <c r="X644" s="9"/>
      <c r="Y644" s="9"/>
    </row>
    <row r="645" spans="1:25" ht="15.75" customHeight="1" x14ac:dyDescent="0.35">
      <c r="A645" s="6"/>
      <c r="E645" s="9"/>
      <c r="F645" s="9"/>
      <c r="G645" s="9"/>
      <c r="M645" s="26"/>
      <c r="N645" s="26"/>
      <c r="O645" s="9"/>
      <c r="P645" s="9"/>
      <c r="W645" s="9"/>
      <c r="X645" s="9"/>
      <c r="Y645" s="9"/>
    </row>
    <row r="646" spans="1:25" ht="15.75" customHeight="1" x14ac:dyDescent="0.35">
      <c r="A646" s="6"/>
      <c r="E646" s="9"/>
      <c r="F646" s="9"/>
      <c r="G646" s="9"/>
      <c r="M646" s="26"/>
      <c r="N646" s="26"/>
      <c r="O646" s="9"/>
      <c r="P646" s="9"/>
      <c r="W646" s="9"/>
      <c r="X646" s="9"/>
      <c r="Y646" s="9"/>
    </row>
    <row r="647" spans="1:25" ht="15.75" customHeight="1" x14ac:dyDescent="0.35">
      <c r="A647" s="6"/>
      <c r="E647" s="9"/>
      <c r="F647" s="9"/>
      <c r="G647" s="9"/>
      <c r="M647" s="26"/>
      <c r="N647" s="26"/>
      <c r="O647" s="9"/>
      <c r="P647" s="9"/>
      <c r="W647" s="9"/>
      <c r="X647" s="9"/>
      <c r="Y647" s="9"/>
    </row>
    <row r="648" spans="1:25" ht="15.75" customHeight="1" x14ac:dyDescent="0.35">
      <c r="A648" s="6"/>
      <c r="E648" s="9"/>
      <c r="F648" s="9"/>
      <c r="G648" s="9"/>
      <c r="M648" s="26"/>
      <c r="N648" s="26"/>
      <c r="O648" s="9"/>
      <c r="P648" s="9"/>
      <c r="W648" s="9"/>
      <c r="X648" s="9"/>
      <c r="Y648" s="9"/>
    </row>
    <row r="649" spans="1:25" ht="15.75" customHeight="1" x14ac:dyDescent="0.35">
      <c r="A649" s="6"/>
      <c r="E649" s="9"/>
      <c r="F649" s="9"/>
      <c r="G649" s="9"/>
      <c r="M649" s="26"/>
      <c r="N649" s="26"/>
      <c r="O649" s="9"/>
      <c r="P649" s="9"/>
      <c r="W649" s="9"/>
      <c r="X649" s="9"/>
      <c r="Y649" s="9"/>
    </row>
    <row r="650" spans="1:25" ht="15.75" customHeight="1" x14ac:dyDescent="0.35">
      <c r="A650" s="6"/>
      <c r="E650" s="9"/>
      <c r="F650" s="9"/>
      <c r="G650" s="9"/>
      <c r="M650" s="26"/>
      <c r="N650" s="26"/>
      <c r="O650" s="9"/>
      <c r="P650" s="9"/>
      <c r="W650" s="9"/>
      <c r="X650" s="9"/>
      <c r="Y650" s="9"/>
    </row>
    <row r="651" spans="1:25" ht="15.75" customHeight="1" x14ac:dyDescent="0.35">
      <c r="A651" s="6"/>
      <c r="E651" s="9"/>
      <c r="F651" s="9"/>
      <c r="G651" s="9"/>
      <c r="M651" s="26"/>
      <c r="N651" s="26"/>
      <c r="O651" s="9"/>
      <c r="P651" s="9"/>
      <c r="W651" s="9"/>
      <c r="X651" s="9"/>
      <c r="Y651" s="9"/>
    </row>
    <row r="652" spans="1:25" ht="15.75" customHeight="1" x14ac:dyDescent="0.35">
      <c r="A652" s="6"/>
      <c r="E652" s="9"/>
      <c r="F652" s="9"/>
      <c r="G652" s="9"/>
      <c r="M652" s="26"/>
      <c r="N652" s="26"/>
      <c r="O652" s="9"/>
      <c r="P652" s="9"/>
      <c r="W652" s="9"/>
      <c r="X652" s="9"/>
      <c r="Y652" s="9"/>
    </row>
    <row r="653" spans="1:25" ht="15.75" customHeight="1" x14ac:dyDescent="0.35">
      <c r="A653" s="6"/>
      <c r="E653" s="9"/>
      <c r="F653" s="9"/>
      <c r="G653" s="9"/>
      <c r="M653" s="26"/>
      <c r="N653" s="26"/>
      <c r="O653" s="9"/>
      <c r="P653" s="9"/>
      <c r="W653" s="9"/>
      <c r="X653" s="9"/>
      <c r="Y653" s="9"/>
    </row>
    <row r="654" spans="1:25" ht="15.75" customHeight="1" x14ac:dyDescent="0.35">
      <c r="A654" s="6"/>
      <c r="E654" s="9"/>
      <c r="F654" s="9"/>
      <c r="G654" s="9"/>
      <c r="M654" s="26"/>
      <c r="N654" s="26"/>
      <c r="O654" s="9"/>
      <c r="P654" s="9"/>
      <c r="W654" s="9"/>
      <c r="X654" s="9"/>
      <c r="Y654" s="9"/>
    </row>
    <row r="655" spans="1:25" ht="15.75" customHeight="1" x14ac:dyDescent="0.35">
      <c r="A655" s="6"/>
      <c r="E655" s="9"/>
      <c r="F655" s="9"/>
      <c r="G655" s="9"/>
      <c r="M655" s="26"/>
      <c r="N655" s="26"/>
      <c r="O655" s="9"/>
      <c r="P655" s="9"/>
      <c r="W655" s="9"/>
      <c r="X655" s="9"/>
      <c r="Y655" s="9"/>
    </row>
    <row r="656" spans="1:25" ht="15.75" customHeight="1" x14ac:dyDescent="0.35">
      <c r="A656" s="6"/>
      <c r="E656" s="9"/>
      <c r="F656" s="9"/>
      <c r="G656" s="9"/>
      <c r="M656" s="26"/>
      <c r="N656" s="26"/>
      <c r="O656" s="9"/>
      <c r="P656" s="9"/>
      <c r="W656" s="9"/>
      <c r="X656" s="9"/>
      <c r="Y656" s="9"/>
    </row>
    <row r="657" spans="1:25" ht="15.75" customHeight="1" x14ac:dyDescent="0.35">
      <c r="A657" s="6"/>
      <c r="E657" s="9"/>
      <c r="F657" s="9"/>
      <c r="G657" s="9"/>
      <c r="M657" s="26"/>
      <c r="N657" s="26"/>
      <c r="O657" s="9"/>
      <c r="P657" s="9"/>
      <c r="W657" s="9"/>
      <c r="X657" s="9"/>
      <c r="Y657" s="9"/>
    </row>
    <row r="658" spans="1:25" ht="15.75" customHeight="1" x14ac:dyDescent="0.35">
      <c r="A658" s="6"/>
      <c r="E658" s="9"/>
      <c r="F658" s="9"/>
      <c r="G658" s="9"/>
      <c r="M658" s="26"/>
      <c r="N658" s="26"/>
      <c r="O658" s="9"/>
      <c r="P658" s="9"/>
      <c r="W658" s="9"/>
      <c r="X658" s="9"/>
      <c r="Y658" s="9"/>
    </row>
    <row r="659" spans="1:25" ht="15.75" customHeight="1" x14ac:dyDescent="0.35">
      <c r="A659" s="6"/>
      <c r="E659" s="9"/>
      <c r="F659" s="9"/>
      <c r="G659" s="9"/>
      <c r="M659" s="26"/>
      <c r="N659" s="26"/>
      <c r="O659" s="9"/>
      <c r="P659" s="9"/>
      <c r="W659" s="9"/>
      <c r="X659" s="9"/>
      <c r="Y659" s="9"/>
    </row>
    <row r="660" spans="1:25" ht="15.75" customHeight="1" x14ac:dyDescent="0.35">
      <c r="A660" s="6"/>
      <c r="E660" s="9"/>
      <c r="F660" s="9"/>
      <c r="G660" s="9"/>
      <c r="M660" s="26"/>
      <c r="N660" s="26"/>
      <c r="O660" s="9"/>
      <c r="P660" s="9"/>
      <c r="W660" s="9"/>
      <c r="X660" s="9"/>
      <c r="Y660" s="9"/>
    </row>
    <row r="661" spans="1:25" ht="15.75" customHeight="1" x14ac:dyDescent="0.35">
      <c r="A661" s="6"/>
      <c r="E661" s="9"/>
      <c r="F661" s="9"/>
      <c r="G661" s="9"/>
      <c r="M661" s="26"/>
      <c r="N661" s="26"/>
      <c r="O661" s="9"/>
      <c r="P661" s="9"/>
      <c r="W661" s="9"/>
      <c r="X661" s="9"/>
      <c r="Y661" s="9"/>
    </row>
    <row r="662" spans="1:25" ht="15.75" customHeight="1" x14ac:dyDescent="0.35">
      <c r="A662" s="6"/>
      <c r="E662" s="9"/>
      <c r="F662" s="9"/>
      <c r="G662" s="9"/>
      <c r="M662" s="26"/>
      <c r="N662" s="26"/>
      <c r="O662" s="9"/>
      <c r="P662" s="9"/>
      <c r="W662" s="9"/>
      <c r="X662" s="9"/>
      <c r="Y662" s="9"/>
    </row>
    <row r="663" spans="1:25" ht="15.75" customHeight="1" x14ac:dyDescent="0.35">
      <c r="A663" s="6"/>
      <c r="E663" s="9"/>
      <c r="F663" s="9"/>
      <c r="G663" s="9"/>
      <c r="M663" s="26"/>
      <c r="N663" s="26"/>
      <c r="O663" s="9"/>
      <c r="P663" s="9"/>
      <c r="W663" s="9"/>
      <c r="X663" s="9"/>
      <c r="Y663" s="9"/>
    </row>
    <row r="664" spans="1:25" ht="15.75" customHeight="1" x14ac:dyDescent="0.35">
      <c r="A664" s="6"/>
      <c r="E664" s="9"/>
      <c r="F664" s="9"/>
      <c r="G664" s="9"/>
      <c r="M664" s="26"/>
      <c r="N664" s="26"/>
      <c r="O664" s="9"/>
      <c r="P664" s="9"/>
      <c r="W664" s="9"/>
      <c r="X664" s="9"/>
      <c r="Y664" s="9"/>
    </row>
    <row r="665" spans="1:25" ht="15.75" customHeight="1" x14ac:dyDescent="0.35">
      <c r="A665" s="6"/>
      <c r="E665" s="9"/>
      <c r="F665" s="9"/>
      <c r="G665" s="9"/>
      <c r="M665" s="26"/>
      <c r="N665" s="26"/>
      <c r="O665" s="9"/>
      <c r="P665" s="9"/>
      <c r="W665" s="9"/>
      <c r="X665" s="9"/>
      <c r="Y665" s="9"/>
    </row>
    <row r="666" spans="1:25" ht="15.75" customHeight="1" x14ac:dyDescent="0.35">
      <c r="A666" s="6"/>
      <c r="E666" s="9"/>
      <c r="F666" s="9"/>
      <c r="G666" s="9"/>
      <c r="M666" s="26"/>
      <c r="N666" s="26"/>
      <c r="O666" s="9"/>
      <c r="P666" s="9"/>
      <c r="W666" s="9"/>
      <c r="X666" s="9"/>
      <c r="Y666" s="9"/>
    </row>
    <row r="667" spans="1:25" ht="15.75" customHeight="1" x14ac:dyDescent="0.35">
      <c r="A667" s="6"/>
      <c r="E667" s="9"/>
      <c r="F667" s="9"/>
      <c r="G667" s="9"/>
      <c r="M667" s="26"/>
      <c r="N667" s="26"/>
      <c r="O667" s="9"/>
      <c r="P667" s="9"/>
      <c r="W667" s="9"/>
      <c r="X667" s="9"/>
      <c r="Y667" s="9"/>
    </row>
    <row r="668" spans="1:25" ht="15.75" customHeight="1" x14ac:dyDescent="0.35">
      <c r="A668" s="6"/>
      <c r="E668" s="9"/>
      <c r="F668" s="9"/>
      <c r="G668" s="9"/>
      <c r="M668" s="26"/>
      <c r="N668" s="26"/>
      <c r="O668" s="9"/>
      <c r="P668" s="9"/>
      <c r="W668" s="9"/>
      <c r="X668" s="9"/>
      <c r="Y668" s="9"/>
    </row>
    <row r="669" spans="1:25" ht="15.75" customHeight="1" x14ac:dyDescent="0.35">
      <c r="A669" s="6"/>
      <c r="E669" s="9"/>
      <c r="F669" s="9"/>
      <c r="G669" s="9"/>
      <c r="M669" s="26"/>
      <c r="N669" s="26"/>
      <c r="O669" s="9"/>
      <c r="P669" s="9"/>
      <c r="W669" s="9"/>
      <c r="X669" s="9"/>
      <c r="Y669" s="9"/>
    </row>
    <row r="670" spans="1:25" ht="15.75" customHeight="1" x14ac:dyDescent="0.35">
      <c r="A670" s="6"/>
      <c r="E670" s="9"/>
      <c r="F670" s="9"/>
      <c r="G670" s="9"/>
      <c r="M670" s="26"/>
      <c r="N670" s="26"/>
      <c r="O670" s="9"/>
      <c r="P670" s="9"/>
      <c r="W670" s="9"/>
      <c r="X670" s="9"/>
      <c r="Y670" s="9"/>
    </row>
    <row r="671" spans="1:25" ht="15.75" customHeight="1" x14ac:dyDescent="0.35">
      <c r="A671" s="6"/>
      <c r="E671" s="9"/>
      <c r="F671" s="9"/>
      <c r="G671" s="9"/>
      <c r="M671" s="26"/>
      <c r="N671" s="26"/>
      <c r="O671" s="9"/>
      <c r="P671" s="9"/>
      <c r="W671" s="9"/>
      <c r="X671" s="9"/>
      <c r="Y671" s="9"/>
    </row>
    <row r="672" spans="1:25" ht="15.75" customHeight="1" x14ac:dyDescent="0.35">
      <c r="A672" s="6"/>
      <c r="E672" s="9"/>
      <c r="F672" s="9"/>
      <c r="G672" s="9"/>
      <c r="M672" s="26"/>
      <c r="N672" s="26"/>
      <c r="O672" s="9"/>
      <c r="P672" s="9"/>
      <c r="W672" s="9"/>
      <c r="X672" s="9"/>
      <c r="Y672" s="9"/>
    </row>
    <row r="673" spans="1:25" ht="15.75" customHeight="1" x14ac:dyDescent="0.35">
      <c r="A673" s="6"/>
      <c r="E673" s="9"/>
      <c r="F673" s="9"/>
      <c r="G673" s="9"/>
      <c r="M673" s="26"/>
      <c r="N673" s="26"/>
      <c r="O673" s="9"/>
      <c r="P673" s="9"/>
      <c r="W673" s="9"/>
      <c r="X673" s="9"/>
      <c r="Y673" s="9"/>
    </row>
    <row r="674" spans="1:25" ht="15.75" customHeight="1" x14ac:dyDescent="0.35">
      <c r="A674" s="6"/>
      <c r="E674" s="9"/>
      <c r="F674" s="9"/>
      <c r="G674" s="9"/>
      <c r="M674" s="26"/>
      <c r="N674" s="26"/>
      <c r="O674" s="9"/>
      <c r="P674" s="9"/>
      <c r="W674" s="9"/>
      <c r="X674" s="9"/>
      <c r="Y674" s="9"/>
    </row>
    <row r="675" spans="1:25" ht="15.75" customHeight="1" x14ac:dyDescent="0.35">
      <c r="A675" s="6"/>
      <c r="E675" s="9"/>
      <c r="F675" s="9"/>
      <c r="G675" s="9"/>
      <c r="M675" s="26"/>
      <c r="N675" s="26"/>
      <c r="O675" s="9"/>
      <c r="P675" s="9"/>
      <c r="W675" s="9"/>
      <c r="X675" s="9"/>
      <c r="Y675" s="9"/>
    </row>
    <row r="676" spans="1:25" ht="15.75" customHeight="1" x14ac:dyDescent="0.35">
      <c r="A676" s="6"/>
      <c r="E676" s="9"/>
      <c r="F676" s="9"/>
      <c r="G676" s="9"/>
      <c r="M676" s="26"/>
      <c r="N676" s="26"/>
      <c r="O676" s="9"/>
      <c r="P676" s="9"/>
      <c r="W676" s="9"/>
      <c r="X676" s="9"/>
      <c r="Y676" s="9"/>
    </row>
    <row r="677" spans="1:25" ht="15.75" customHeight="1" x14ac:dyDescent="0.35">
      <c r="A677" s="6"/>
      <c r="E677" s="9"/>
      <c r="F677" s="9"/>
      <c r="G677" s="9"/>
      <c r="M677" s="26"/>
      <c r="N677" s="26"/>
      <c r="O677" s="9"/>
      <c r="P677" s="9"/>
      <c r="W677" s="9"/>
      <c r="X677" s="9"/>
      <c r="Y677" s="9"/>
    </row>
    <row r="678" spans="1:25" ht="15.75" customHeight="1" x14ac:dyDescent="0.35">
      <c r="A678" s="6"/>
      <c r="E678" s="9"/>
      <c r="F678" s="9"/>
      <c r="G678" s="9"/>
      <c r="M678" s="26"/>
      <c r="N678" s="26"/>
      <c r="O678" s="9"/>
      <c r="P678" s="9"/>
      <c r="W678" s="9"/>
      <c r="X678" s="9"/>
      <c r="Y678" s="9"/>
    </row>
    <row r="679" spans="1:25" ht="15.75" customHeight="1" x14ac:dyDescent="0.35">
      <c r="A679" s="6"/>
      <c r="E679" s="9"/>
      <c r="F679" s="9"/>
      <c r="G679" s="9"/>
      <c r="M679" s="26"/>
      <c r="N679" s="26"/>
      <c r="O679" s="9"/>
      <c r="P679" s="9"/>
      <c r="W679" s="9"/>
      <c r="X679" s="9"/>
      <c r="Y679" s="9"/>
    </row>
    <row r="680" spans="1:25" ht="15.75" customHeight="1" x14ac:dyDescent="0.35">
      <c r="A680" s="6"/>
      <c r="E680" s="9"/>
      <c r="F680" s="9"/>
      <c r="G680" s="9"/>
      <c r="M680" s="26"/>
      <c r="N680" s="26"/>
      <c r="O680" s="9"/>
      <c r="P680" s="9"/>
      <c r="W680" s="9"/>
      <c r="X680" s="9"/>
      <c r="Y680" s="9"/>
    </row>
    <row r="681" spans="1:25" ht="15.75" customHeight="1" x14ac:dyDescent="0.35">
      <c r="A681" s="6"/>
      <c r="E681" s="9"/>
      <c r="F681" s="9"/>
      <c r="G681" s="9"/>
      <c r="M681" s="26"/>
      <c r="N681" s="26"/>
      <c r="O681" s="9"/>
      <c r="P681" s="9"/>
      <c r="W681" s="9"/>
      <c r="X681" s="9"/>
      <c r="Y681" s="9"/>
    </row>
    <row r="682" spans="1:25" ht="15.75" customHeight="1" x14ac:dyDescent="0.35">
      <c r="A682" s="6"/>
      <c r="E682" s="9"/>
      <c r="F682" s="9"/>
      <c r="G682" s="9"/>
      <c r="M682" s="26"/>
      <c r="N682" s="26"/>
      <c r="O682" s="9"/>
      <c r="P682" s="9"/>
      <c r="W682" s="9"/>
      <c r="X682" s="9"/>
      <c r="Y682" s="9"/>
    </row>
    <row r="683" spans="1:25" ht="15.75" customHeight="1" x14ac:dyDescent="0.35">
      <c r="A683" s="6"/>
      <c r="E683" s="9"/>
      <c r="F683" s="9"/>
      <c r="G683" s="9"/>
      <c r="M683" s="26"/>
      <c r="N683" s="26"/>
      <c r="O683" s="9"/>
      <c r="P683" s="9"/>
      <c r="W683" s="9"/>
      <c r="X683" s="9"/>
      <c r="Y683" s="9"/>
    </row>
    <row r="684" spans="1:25" ht="15.75" customHeight="1" x14ac:dyDescent="0.35">
      <c r="A684" s="6"/>
      <c r="E684" s="9"/>
      <c r="F684" s="9"/>
      <c r="G684" s="9"/>
      <c r="M684" s="26"/>
      <c r="N684" s="26"/>
      <c r="O684" s="9"/>
      <c r="P684" s="9"/>
      <c r="W684" s="9"/>
      <c r="X684" s="9"/>
      <c r="Y684" s="9"/>
    </row>
    <row r="685" spans="1:25" ht="15.75" customHeight="1" x14ac:dyDescent="0.35">
      <c r="A685" s="6"/>
      <c r="E685" s="9"/>
      <c r="F685" s="9"/>
      <c r="G685" s="9"/>
      <c r="M685" s="26"/>
      <c r="N685" s="26"/>
      <c r="O685" s="9"/>
      <c r="P685" s="9"/>
      <c r="W685" s="9"/>
      <c r="X685" s="9"/>
      <c r="Y685" s="9"/>
    </row>
    <row r="686" spans="1:25" ht="15.75" customHeight="1" x14ac:dyDescent="0.35">
      <c r="A686" s="6"/>
      <c r="E686" s="9"/>
      <c r="F686" s="9"/>
      <c r="G686" s="9"/>
      <c r="M686" s="26"/>
      <c r="N686" s="26"/>
      <c r="O686" s="9"/>
      <c r="P686" s="9"/>
      <c r="W686" s="9"/>
      <c r="X686" s="9"/>
      <c r="Y686" s="9"/>
    </row>
    <row r="687" spans="1:25" ht="15.75" customHeight="1" x14ac:dyDescent="0.35">
      <c r="A687" s="6"/>
      <c r="E687" s="9"/>
      <c r="F687" s="9"/>
      <c r="G687" s="9"/>
      <c r="M687" s="26"/>
      <c r="N687" s="26"/>
      <c r="O687" s="9"/>
      <c r="P687" s="9"/>
      <c r="W687" s="9"/>
      <c r="X687" s="9"/>
      <c r="Y687" s="9"/>
    </row>
    <row r="688" spans="1:25" ht="15.75" customHeight="1" x14ac:dyDescent="0.35">
      <c r="A688" s="6"/>
      <c r="E688" s="9"/>
      <c r="F688" s="9"/>
      <c r="G688" s="9"/>
      <c r="M688" s="26"/>
      <c r="N688" s="26"/>
      <c r="O688" s="9"/>
      <c r="P688" s="9"/>
      <c r="W688" s="9"/>
      <c r="X688" s="9"/>
      <c r="Y688" s="9"/>
    </row>
    <row r="689" spans="1:25" ht="15.75" customHeight="1" x14ac:dyDescent="0.35">
      <c r="A689" s="6"/>
      <c r="E689" s="9"/>
      <c r="F689" s="9"/>
      <c r="G689" s="9"/>
      <c r="M689" s="26"/>
      <c r="N689" s="26"/>
      <c r="O689" s="9"/>
      <c r="P689" s="9"/>
      <c r="W689" s="9"/>
      <c r="X689" s="9"/>
      <c r="Y689" s="9"/>
    </row>
    <row r="690" spans="1:25" ht="15.75" customHeight="1" x14ac:dyDescent="0.35">
      <c r="A690" s="6"/>
      <c r="E690" s="9"/>
      <c r="F690" s="9"/>
      <c r="G690" s="9"/>
      <c r="M690" s="26"/>
      <c r="N690" s="26"/>
      <c r="O690" s="9"/>
      <c r="P690" s="9"/>
      <c r="W690" s="9"/>
      <c r="X690" s="9"/>
      <c r="Y690" s="9"/>
    </row>
    <row r="691" spans="1:25" ht="15.75" customHeight="1" x14ac:dyDescent="0.35">
      <c r="A691" s="6"/>
      <c r="E691" s="9"/>
      <c r="F691" s="9"/>
      <c r="G691" s="9"/>
      <c r="M691" s="26"/>
      <c r="N691" s="26"/>
      <c r="O691" s="9"/>
      <c r="P691" s="9"/>
      <c r="W691" s="9"/>
      <c r="X691" s="9"/>
      <c r="Y691" s="9"/>
    </row>
    <row r="692" spans="1:25" ht="15.75" customHeight="1" x14ac:dyDescent="0.35">
      <c r="A692" s="6"/>
      <c r="E692" s="9"/>
      <c r="F692" s="9"/>
      <c r="G692" s="9"/>
      <c r="M692" s="26"/>
      <c r="N692" s="26"/>
      <c r="O692" s="9"/>
      <c r="P692" s="9"/>
      <c r="W692" s="9"/>
      <c r="X692" s="9"/>
      <c r="Y692" s="9"/>
    </row>
    <row r="693" spans="1:25" ht="15.75" customHeight="1" x14ac:dyDescent="0.35">
      <c r="A693" s="6"/>
      <c r="E693" s="9"/>
      <c r="F693" s="9"/>
      <c r="G693" s="9"/>
      <c r="M693" s="26"/>
      <c r="N693" s="26"/>
      <c r="O693" s="9"/>
      <c r="P693" s="9"/>
      <c r="W693" s="9"/>
      <c r="X693" s="9"/>
      <c r="Y693" s="9"/>
    </row>
    <row r="694" spans="1:25" ht="15.75" customHeight="1" x14ac:dyDescent="0.35">
      <c r="A694" s="6"/>
      <c r="E694" s="9"/>
      <c r="F694" s="9"/>
      <c r="G694" s="9"/>
      <c r="M694" s="26"/>
      <c r="N694" s="26"/>
      <c r="O694" s="9"/>
      <c r="P694" s="9"/>
      <c r="W694" s="9"/>
      <c r="X694" s="9"/>
      <c r="Y694" s="9"/>
    </row>
    <row r="695" spans="1:25" ht="15.75" customHeight="1" x14ac:dyDescent="0.35">
      <c r="A695" s="6"/>
      <c r="E695" s="9"/>
      <c r="F695" s="9"/>
      <c r="G695" s="9"/>
      <c r="M695" s="26"/>
      <c r="N695" s="26"/>
      <c r="O695" s="9"/>
      <c r="P695" s="9"/>
      <c r="W695" s="9"/>
      <c r="X695" s="9"/>
      <c r="Y695" s="9"/>
    </row>
    <row r="696" spans="1:25" ht="15.75" customHeight="1" x14ac:dyDescent="0.35">
      <c r="A696" s="6"/>
      <c r="E696" s="9"/>
      <c r="F696" s="9"/>
      <c r="G696" s="9"/>
      <c r="M696" s="26"/>
      <c r="N696" s="26"/>
      <c r="O696" s="9"/>
      <c r="P696" s="9"/>
      <c r="W696" s="9"/>
      <c r="X696" s="9"/>
      <c r="Y696" s="9"/>
    </row>
    <row r="697" spans="1:25" ht="15.75" customHeight="1" x14ac:dyDescent="0.35">
      <c r="A697" s="6"/>
      <c r="E697" s="9"/>
      <c r="F697" s="9"/>
      <c r="G697" s="9"/>
      <c r="M697" s="26"/>
      <c r="N697" s="26"/>
      <c r="O697" s="9"/>
      <c r="P697" s="9"/>
      <c r="W697" s="9"/>
      <c r="X697" s="9"/>
      <c r="Y697" s="9"/>
    </row>
    <row r="698" spans="1:25" ht="15.75" customHeight="1" x14ac:dyDescent="0.35">
      <c r="A698" s="6"/>
      <c r="E698" s="9"/>
      <c r="F698" s="9"/>
      <c r="G698" s="9"/>
      <c r="M698" s="26"/>
      <c r="N698" s="26"/>
      <c r="O698" s="9"/>
      <c r="P698" s="9"/>
      <c r="W698" s="9"/>
      <c r="X698" s="9"/>
      <c r="Y698" s="9"/>
    </row>
    <row r="699" spans="1:25" ht="15.75" customHeight="1" x14ac:dyDescent="0.35">
      <c r="A699" s="6"/>
      <c r="E699" s="9"/>
      <c r="F699" s="9"/>
      <c r="G699" s="9"/>
      <c r="M699" s="26"/>
      <c r="N699" s="26"/>
      <c r="O699" s="9"/>
      <c r="P699" s="9"/>
      <c r="W699" s="9"/>
      <c r="X699" s="9"/>
      <c r="Y699" s="9"/>
    </row>
    <row r="700" spans="1:25" ht="15.75" customHeight="1" x14ac:dyDescent="0.35">
      <c r="A700" s="6"/>
      <c r="E700" s="9"/>
      <c r="F700" s="9"/>
      <c r="G700" s="9"/>
      <c r="M700" s="26"/>
      <c r="N700" s="26"/>
      <c r="O700" s="9"/>
      <c r="P700" s="9"/>
      <c r="W700" s="9"/>
      <c r="X700" s="9"/>
      <c r="Y700" s="9"/>
    </row>
    <row r="701" spans="1:25" ht="15.75" customHeight="1" x14ac:dyDescent="0.35">
      <c r="A701" s="6"/>
      <c r="E701" s="9"/>
      <c r="F701" s="9"/>
      <c r="G701" s="9"/>
      <c r="M701" s="26"/>
      <c r="N701" s="26"/>
      <c r="O701" s="9"/>
      <c r="P701" s="9"/>
      <c r="W701" s="9"/>
      <c r="X701" s="9"/>
      <c r="Y701" s="9"/>
    </row>
    <row r="702" spans="1:25" ht="15.75" customHeight="1" x14ac:dyDescent="0.35">
      <c r="A702" s="6"/>
      <c r="E702" s="9"/>
      <c r="F702" s="9"/>
      <c r="G702" s="9"/>
      <c r="M702" s="26"/>
      <c r="N702" s="26"/>
      <c r="O702" s="9"/>
      <c r="P702" s="9"/>
      <c r="W702" s="9"/>
      <c r="X702" s="9"/>
      <c r="Y702" s="9"/>
    </row>
    <row r="703" spans="1:25" ht="15.75" customHeight="1" x14ac:dyDescent="0.35">
      <c r="A703" s="6"/>
      <c r="E703" s="9"/>
      <c r="F703" s="9"/>
      <c r="G703" s="9"/>
      <c r="M703" s="26"/>
      <c r="N703" s="26"/>
      <c r="O703" s="9"/>
      <c r="P703" s="9"/>
      <c r="W703" s="9"/>
      <c r="X703" s="9"/>
      <c r="Y703" s="9"/>
    </row>
    <row r="704" spans="1:25" ht="15.75" customHeight="1" x14ac:dyDescent="0.35">
      <c r="A704" s="6"/>
      <c r="E704" s="9"/>
      <c r="F704" s="9"/>
      <c r="G704" s="9"/>
      <c r="M704" s="26"/>
      <c r="N704" s="26"/>
      <c r="O704" s="9"/>
      <c r="P704" s="9"/>
      <c r="W704" s="9"/>
      <c r="X704" s="9"/>
      <c r="Y704" s="9"/>
    </row>
    <row r="705" spans="1:25" ht="15.75" customHeight="1" x14ac:dyDescent="0.35">
      <c r="A705" s="6"/>
      <c r="E705" s="9"/>
      <c r="F705" s="9"/>
      <c r="G705" s="9"/>
      <c r="M705" s="26"/>
      <c r="N705" s="26"/>
      <c r="O705" s="9"/>
      <c r="P705" s="9"/>
      <c r="W705" s="9"/>
      <c r="X705" s="9"/>
      <c r="Y705" s="9"/>
    </row>
    <row r="706" spans="1:25" ht="15.75" customHeight="1" x14ac:dyDescent="0.35">
      <c r="A706" s="6"/>
      <c r="E706" s="9"/>
      <c r="F706" s="9"/>
      <c r="G706" s="9"/>
      <c r="M706" s="26"/>
      <c r="N706" s="26"/>
      <c r="O706" s="9"/>
      <c r="P706" s="9"/>
      <c r="W706" s="9"/>
      <c r="X706" s="9"/>
      <c r="Y706" s="9"/>
    </row>
    <row r="707" spans="1:25" ht="15.75" customHeight="1" x14ac:dyDescent="0.35">
      <c r="A707" s="6"/>
      <c r="E707" s="9"/>
      <c r="F707" s="9"/>
      <c r="G707" s="9"/>
      <c r="M707" s="26"/>
      <c r="N707" s="26"/>
      <c r="O707" s="9"/>
      <c r="P707" s="9"/>
      <c r="W707" s="9"/>
      <c r="X707" s="9"/>
      <c r="Y707" s="9"/>
    </row>
    <row r="708" spans="1:25" ht="15.75" customHeight="1" x14ac:dyDescent="0.35">
      <c r="A708" s="6"/>
      <c r="E708" s="9"/>
      <c r="F708" s="9"/>
      <c r="G708" s="9"/>
      <c r="M708" s="26"/>
      <c r="N708" s="26"/>
      <c r="O708" s="9"/>
      <c r="P708" s="9"/>
      <c r="W708" s="9"/>
      <c r="X708" s="9"/>
      <c r="Y708" s="9"/>
    </row>
    <row r="709" spans="1:25" ht="15.75" customHeight="1" x14ac:dyDescent="0.35">
      <c r="A709" s="6"/>
      <c r="E709" s="9"/>
      <c r="F709" s="9"/>
      <c r="G709" s="9"/>
      <c r="M709" s="26"/>
      <c r="N709" s="26"/>
      <c r="O709" s="9"/>
      <c r="P709" s="9"/>
      <c r="W709" s="9"/>
      <c r="X709" s="9"/>
      <c r="Y709" s="9"/>
    </row>
    <row r="710" spans="1:25" ht="15.75" customHeight="1" x14ac:dyDescent="0.35">
      <c r="A710" s="6"/>
      <c r="E710" s="9"/>
      <c r="F710" s="9"/>
      <c r="G710" s="9"/>
      <c r="M710" s="26"/>
      <c r="N710" s="26"/>
      <c r="O710" s="9"/>
      <c r="P710" s="9"/>
      <c r="W710" s="9"/>
      <c r="X710" s="9"/>
      <c r="Y710" s="9"/>
    </row>
    <row r="711" spans="1:25" ht="15.75" customHeight="1" x14ac:dyDescent="0.35">
      <c r="A711" s="6"/>
      <c r="E711" s="9"/>
      <c r="F711" s="9"/>
      <c r="G711" s="9"/>
      <c r="M711" s="26"/>
      <c r="N711" s="26"/>
      <c r="O711" s="9"/>
      <c r="P711" s="9"/>
      <c r="W711" s="9"/>
      <c r="X711" s="9"/>
      <c r="Y711" s="9"/>
    </row>
    <row r="712" spans="1:25" ht="15.75" customHeight="1" x14ac:dyDescent="0.35">
      <c r="A712" s="6"/>
      <c r="E712" s="9"/>
      <c r="F712" s="9"/>
      <c r="G712" s="9"/>
      <c r="M712" s="26"/>
      <c r="N712" s="26"/>
      <c r="O712" s="9"/>
      <c r="P712" s="9"/>
      <c r="W712" s="9"/>
      <c r="X712" s="9"/>
      <c r="Y712" s="9"/>
    </row>
    <row r="713" spans="1:25" ht="15.75" customHeight="1" x14ac:dyDescent="0.35">
      <c r="A713" s="6"/>
      <c r="E713" s="9"/>
      <c r="F713" s="9"/>
      <c r="G713" s="9"/>
      <c r="M713" s="26"/>
      <c r="N713" s="26"/>
      <c r="O713" s="9"/>
      <c r="P713" s="9"/>
      <c r="W713" s="9"/>
      <c r="X713" s="9"/>
      <c r="Y713" s="9"/>
    </row>
    <row r="714" spans="1:25" ht="15.75" customHeight="1" x14ac:dyDescent="0.35">
      <c r="A714" s="6"/>
      <c r="E714" s="9"/>
      <c r="F714" s="9"/>
      <c r="G714" s="9"/>
      <c r="M714" s="26"/>
      <c r="N714" s="26"/>
      <c r="O714" s="9"/>
      <c r="P714" s="9"/>
      <c r="W714" s="9"/>
      <c r="X714" s="9"/>
      <c r="Y714" s="9"/>
    </row>
    <row r="715" spans="1:25" ht="15.75" customHeight="1" x14ac:dyDescent="0.35">
      <c r="A715" s="6"/>
      <c r="E715" s="9"/>
      <c r="F715" s="9"/>
      <c r="G715" s="9"/>
      <c r="M715" s="26"/>
      <c r="N715" s="26"/>
      <c r="O715" s="9"/>
      <c r="P715" s="9"/>
      <c r="W715" s="9"/>
      <c r="X715" s="9"/>
      <c r="Y715" s="9"/>
    </row>
    <row r="716" spans="1:25" ht="15.75" customHeight="1" x14ac:dyDescent="0.35">
      <c r="A716" s="6"/>
      <c r="E716" s="9"/>
      <c r="F716" s="9"/>
      <c r="G716" s="9"/>
      <c r="M716" s="26"/>
      <c r="N716" s="26"/>
      <c r="O716" s="9"/>
      <c r="P716" s="9"/>
      <c r="W716" s="9"/>
      <c r="X716" s="9"/>
      <c r="Y716" s="9"/>
    </row>
    <row r="717" spans="1:25" ht="15.75" customHeight="1" x14ac:dyDescent="0.35">
      <c r="A717" s="6"/>
      <c r="E717" s="9"/>
      <c r="F717" s="9"/>
      <c r="G717" s="9"/>
      <c r="M717" s="26"/>
      <c r="N717" s="26"/>
      <c r="O717" s="9"/>
      <c r="P717" s="9"/>
      <c r="W717" s="9"/>
      <c r="X717" s="9"/>
      <c r="Y717" s="9"/>
    </row>
    <row r="718" spans="1:25" ht="15.75" customHeight="1" x14ac:dyDescent="0.35">
      <c r="A718" s="6"/>
      <c r="E718" s="9"/>
      <c r="F718" s="9"/>
      <c r="G718" s="9"/>
      <c r="M718" s="26"/>
      <c r="N718" s="26"/>
      <c r="O718" s="9"/>
      <c r="P718" s="9"/>
      <c r="W718" s="9"/>
      <c r="X718" s="9"/>
      <c r="Y718" s="9"/>
    </row>
    <row r="719" spans="1:25" ht="15.75" customHeight="1" x14ac:dyDescent="0.35">
      <c r="A719" s="6"/>
      <c r="E719" s="9"/>
      <c r="F719" s="9"/>
      <c r="G719" s="9"/>
      <c r="M719" s="26"/>
      <c r="N719" s="26"/>
      <c r="O719" s="9"/>
      <c r="P719" s="9"/>
      <c r="W719" s="9"/>
      <c r="X719" s="9"/>
      <c r="Y719" s="9"/>
    </row>
    <row r="720" spans="1:25" ht="15.75" customHeight="1" x14ac:dyDescent="0.35">
      <c r="A720" s="6"/>
      <c r="E720" s="9"/>
      <c r="F720" s="9"/>
      <c r="G720" s="9"/>
      <c r="M720" s="26"/>
      <c r="N720" s="26"/>
      <c r="O720" s="9"/>
      <c r="P720" s="9"/>
      <c r="W720" s="9"/>
      <c r="X720" s="9"/>
      <c r="Y720" s="9"/>
    </row>
    <row r="721" spans="1:25" ht="15.75" customHeight="1" x14ac:dyDescent="0.35">
      <c r="A721" s="6"/>
      <c r="E721" s="9"/>
      <c r="F721" s="9"/>
      <c r="G721" s="9"/>
      <c r="M721" s="26"/>
      <c r="N721" s="26"/>
      <c r="O721" s="9"/>
      <c r="P721" s="9"/>
      <c r="W721" s="9"/>
      <c r="X721" s="9"/>
      <c r="Y721" s="9"/>
    </row>
    <row r="722" spans="1:25" ht="15.75" customHeight="1" x14ac:dyDescent="0.35">
      <c r="A722" s="6"/>
      <c r="E722" s="9"/>
      <c r="F722" s="9"/>
      <c r="G722" s="9"/>
      <c r="M722" s="26"/>
      <c r="N722" s="26"/>
      <c r="O722" s="9"/>
      <c r="P722" s="9"/>
      <c r="W722" s="9"/>
      <c r="X722" s="9"/>
      <c r="Y722" s="9"/>
    </row>
    <row r="723" spans="1:25" ht="15.75" customHeight="1" x14ac:dyDescent="0.35">
      <c r="A723" s="6"/>
      <c r="E723" s="9"/>
      <c r="F723" s="9"/>
      <c r="G723" s="9"/>
      <c r="M723" s="26"/>
      <c r="N723" s="26"/>
      <c r="O723" s="9"/>
      <c r="P723" s="9"/>
      <c r="W723" s="9"/>
      <c r="X723" s="9"/>
      <c r="Y723" s="9"/>
    </row>
    <row r="724" spans="1:25" ht="15.75" customHeight="1" x14ac:dyDescent="0.35">
      <c r="A724" s="6"/>
      <c r="E724" s="9"/>
      <c r="F724" s="9"/>
      <c r="G724" s="9"/>
      <c r="M724" s="26"/>
      <c r="N724" s="26"/>
      <c r="O724" s="9"/>
      <c r="P724" s="9"/>
      <c r="W724" s="9"/>
      <c r="X724" s="9"/>
      <c r="Y724" s="9"/>
    </row>
    <row r="725" spans="1:25" ht="15.75" customHeight="1" x14ac:dyDescent="0.35">
      <c r="A725" s="6"/>
      <c r="E725" s="9"/>
      <c r="F725" s="9"/>
      <c r="G725" s="9"/>
      <c r="M725" s="26"/>
      <c r="N725" s="26"/>
      <c r="O725" s="9"/>
      <c r="P725" s="9"/>
      <c r="W725" s="9"/>
      <c r="X725" s="9"/>
      <c r="Y725" s="9"/>
    </row>
    <row r="726" spans="1:25" ht="15.75" customHeight="1" x14ac:dyDescent="0.35">
      <c r="A726" s="6"/>
      <c r="E726" s="9"/>
      <c r="F726" s="9"/>
      <c r="G726" s="9"/>
      <c r="M726" s="26"/>
      <c r="N726" s="26"/>
      <c r="O726" s="9"/>
      <c r="P726" s="9"/>
      <c r="W726" s="9"/>
      <c r="X726" s="9"/>
      <c r="Y726" s="9"/>
    </row>
    <row r="727" spans="1:25" ht="15.75" customHeight="1" x14ac:dyDescent="0.35">
      <c r="A727" s="6"/>
      <c r="E727" s="9"/>
      <c r="F727" s="9"/>
      <c r="G727" s="9"/>
      <c r="M727" s="26"/>
      <c r="N727" s="26"/>
      <c r="O727" s="9"/>
      <c r="P727" s="9"/>
      <c r="W727" s="9"/>
      <c r="X727" s="9"/>
      <c r="Y727" s="9"/>
    </row>
    <row r="728" spans="1:25" ht="15.75" customHeight="1" x14ac:dyDescent="0.35">
      <c r="A728" s="6"/>
      <c r="E728" s="9"/>
      <c r="F728" s="9"/>
      <c r="G728" s="9"/>
      <c r="M728" s="26"/>
      <c r="N728" s="26"/>
      <c r="O728" s="9"/>
      <c r="P728" s="9"/>
      <c r="W728" s="9"/>
      <c r="X728" s="9"/>
      <c r="Y728" s="9"/>
    </row>
    <row r="729" spans="1:25" ht="15.75" customHeight="1" x14ac:dyDescent="0.35">
      <c r="A729" s="6"/>
      <c r="E729" s="9"/>
      <c r="F729" s="9"/>
      <c r="G729" s="9"/>
      <c r="M729" s="26"/>
      <c r="N729" s="26"/>
      <c r="O729" s="9"/>
      <c r="P729" s="9"/>
      <c r="W729" s="9"/>
      <c r="X729" s="9"/>
      <c r="Y729" s="9"/>
    </row>
    <row r="730" spans="1:25" ht="15.75" customHeight="1" x14ac:dyDescent="0.35">
      <c r="A730" s="6"/>
      <c r="E730" s="9"/>
      <c r="F730" s="9"/>
      <c r="G730" s="9"/>
      <c r="M730" s="26"/>
      <c r="N730" s="26"/>
      <c r="O730" s="9"/>
      <c r="P730" s="9"/>
      <c r="W730" s="9"/>
      <c r="X730" s="9"/>
      <c r="Y730" s="9"/>
    </row>
    <row r="731" spans="1:25" ht="15.75" customHeight="1" x14ac:dyDescent="0.35">
      <c r="A731" s="6"/>
      <c r="E731" s="9"/>
      <c r="F731" s="9"/>
      <c r="G731" s="9"/>
      <c r="M731" s="26"/>
      <c r="N731" s="26"/>
      <c r="O731" s="9"/>
      <c r="P731" s="9"/>
      <c r="W731" s="9"/>
      <c r="X731" s="9"/>
      <c r="Y731" s="9"/>
    </row>
    <row r="732" spans="1:25" ht="15.75" customHeight="1" x14ac:dyDescent="0.35">
      <c r="A732" s="6"/>
      <c r="E732" s="9"/>
      <c r="F732" s="9"/>
      <c r="G732" s="9"/>
      <c r="M732" s="26"/>
      <c r="N732" s="26"/>
      <c r="O732" s="9"/>
      <c r="P732" s="9"/>
      <c r="W732" s="9"/>
      <c r="X732" s="9"/>
      <c r="Y732" s="9"/>
    </row>
    <row r="733" spans="1:25" ht="15.75" customHeight="1" x14ac:dyDescent="0.35">
      <c r="A733" s="6"/>
      <c r="E733" s="9"/>
      <c r="F733" s="9"/>
      <c r="G733" s="9"/>
      <c r="M733" s="26"/>
      <c r="N733" s="26"/>
      <c r="O733" s="9"/>
      <c r="P733" s="9"/>
      <c r="W733" s="9"/>
      <c r="X733" s="9"/>
      <c r="Y733" s="9"/>
    </row>
    <row r="734" spans="1:25" ht="15.75" customHeight="1" x14ac:dyDescent="0.35">
      <c r="A734" s="6"/>
      <c r="E734" s="9"/>
      <c r="F734" s="9"/>
      <c r="G734" s="9"/>
      <c r="M734" s="26"/>
      <c r="N734" s="26"/>
      <c r="O734" s="9"/>
      <c r="P734" s="9"/>
      <c r="W734" s="9"/>
      <c r="X734" s="9"/>
      <c r="Y734" s="9"/>
    </row>
    <row r="735" spans="1:25" ht="15.75" customHeight="1" x14ac:dyDescent="0.35">
      <c r="A735" s="6"/>
      <c r="E735" s="9"/>
      <c r="F735" s="9"/>
      <c r="G735" s="9"/>
      <c r="M735" s="26"/>
      <c r="N735" s="26"/>
      <c r="O735" s="9"/>
      <c r="P735" s="9"/>
      <c r="W735" s="9"/>
      <c r="X735" s="9"/>
      <c r="Y735" s="9"/>
    </row>
    <row r="736" spans="1:25" ht="15.75" customHeight="1" x14ac:dyDescent="0.35">
      <c r="A736" s="6"/>
      <c r="E736" s="9"/>
      <c r="F736" s="9"/>
      <c r="G736" s="9"/>
      <c r="M736" s="26"/>
      <c r="N736" s="26"/>
      <c r="O736" s="9"/>
      <c r="P736" s="9"/>
      <c r="W736" s="9"/>
      <c r="X736" s="9"/>
      <c r="Y736" s="9"/>
    </row>
    <row r="737" spans="1:25" ht="15.75" customHeight="1" x14ac:dyDescent="0.35">
      <c r="A737" s="6"/>
      <c r="E737" s="9"/>
      <c r="F737" s="9"/>
      <c r="G737" s="9"/>
      <c r="M737" s="26"/>
      <c r="N737" s="26"/>
      <c r="O737" s="9"/>
      <c r="P737" s="9"/>
      <c r="W737" s="9"/>
      <c r="X737" s="9"/>
      <c r="Y737" s="9"/>
    </row>
    <row r="738" spans="1:25" ht="15.75" customHeight="1" x14ac:dyDescent="0.35">
      <c r="A738" s="6"/>
      <c r="E738" s="9"/>
      <c r="F738" s="9"/>
      <c r="G738" s="9"/>
      <c r="M738" s="26"/>
      <c r="N738" s="26"/>
      <c r="O738" s="9"/>
      <c r="P738" s="9"/>
      <c r="W738" s="9"/>
      <c r="X738" s="9"/>
      <c r="Y738" s="9"/>
    </row>
    <row r="739" spans="1:25" ht="15.75" customHeight="1" x14ac:dyDescent="0.35">
      <c r="A739" s="6"/>
      <c r="E739" s="9"/>
      <c r="F739" s="9"/>
      <c r="G739" s="9"/>
      <c r="M739" s="26"/>
      <c r="N739" s="26"/>
      <c r="O739" s="9"/>
      <c r="P739" s="9"/>
      <c r="W739" s="9"/>
      <c r="X739" s="9"/>
      <c r="Y739" s="9"/>
    </row>
    <row r="740" spans="1:25" ht="15.75" customHeight="1" x14ac:dyDescent="0.35">
      <c r="A740" s="6"/>
      <c r="E740" s="9"/>
      <c r="F740" s="9"/>
      <c r="G740" s="9"/>
      <c r="M740" s="26"/>
      <c r="N740" s="26"/>
      <c r="O740" s="9"/>
      <c r="P740" s="9"/>
      <c r="W740" s="9"/>
      <c r="X740" s="9"/>
      <c r="Y740" s="9"/>
    </row>
    <row r="741" spans="1:25" ht="15.75" customHeight="1" x14ac:dyDescent="0.35">
      <c r="A741" s="6"/>
      <c r="E741" s="9"/>
      <c r="F741" s="9"/>
      <c r="G741" s="9"/>
      <c r="M741" s="26"/>
      <c r="N741" s="26"/>
      <c r="O741" s="9"/>
      <c r="P741" s="9"/>
      <c r="W741" s="9"/>
      <c r="X741" s="9"/>
      <c r="Y741" s="9"/>
    </row>
    <row r="742" spans="1:25" ht="15.75" customHeight="1" x14ac:dyDescent="0.35">
      <c r="A742" s="6"/>
      <c r="E742" s="9"/>
      <c r="F742" s="9"/>
      <c r="G742" s="9"/>
      <c r="M742" s="26"/>
      <c r="N742" s="26"/>
      <c r="O742" s="9"/>
      <c r="P742" s="9"/>
      <c r="W742" s="9"/>
      <c r="X742" s="9"/>
      <c r="Y742" s="9"/>
    </row>
    <row r="743" spans="1:25" ht="15.75" customHeight="1" x14ac:dyDescent="0.35">
      <c r="A743" s="6"/>
      <c r="E743" s="9"/>
      <c r="F743" s="9"/>
      <c r="G743" s="9"/>
      <c r="M743" s="26"/>
      <c r="N743" s="26"/>
      <c r="O743" s="9"/>
      <c r="P743" s="9"/>
      <c r="W743" s="9"/>
      <c r="X743" s="9"/>
      <c r="Y743" s="9"/>
    </row>
    <row r="744" spans="1:25" ht="15.75" customHeight="1" x14ac:dyDescent="0.35">
      <c r="A744" s="6"/>
      <c r="E744" s="9"/>
      <c r="F744" s="9"/>
      <c r="G744" s="9"/>
      <c r="M744" s="26"/>
      <c r="N744" s="26"/>
      <c r="O744" s="9"/>
      <c r="P744" s="9"/>
      <c r="W744" s="9"/>
      <c r="X744" s="9"/>
      <c r="Y744" s="9"/>
    </row>
    <row r="745" spans="1:25" ht="15.75" customHeight="1" x14ac:dyDescent="0.35">
      <c r="A745" s="6"/>
      <c r="E745" s="9"/>
      <c r="F745" s="9"/>
      <c r="G745" s="9"/>
      <c r="M745" s="26"/>
      <c r="N745" s="26"/>
      <c r="O745" s="9"/>
      <c r="P745" s="9"/>
      <c r="W745" s="9"/>
      <c r="X745" s="9"/>
      <c r="Y745" s="9"/>
    </row>
    <row r="746" spans="1:25" ht="15.75" customHeight="1" x14ac:dyDescent="0.35">
      <c r="A746" s="6"/>
      <c r="E746" s="9"/>
      <c r="F746" s="9"/>
      <c r="G746" s="9"/>
      <c r="M746" s="26"/>
      <c r="N746" s="26"/>
      <c r="O746" s="9"/>
      <c r="P746" s="9"/>
      <c r="W746" s="9"/>
      <c r="X746" s="9"/>
      <c r="Y746" s="9"/>
    </row>
    <row r="747" spans="1:25" ht="15.75" customHeight="1" x14ac:dyDescent="0.35">
      <c r="A747" s="6"/>
      <c r="E747" s="9"/>
      <c r="F747" s="9"/>
      <c r="G747" s="9"/>
      <c r="M747" s="26"/>
      <c r="N747" s="26"/>
      <c r="O747" s="9"/>
      <c r="P747" s="9"/>
      <c r="W747" s="9"/>
      <c r="X747" s="9"/>
      <c r="Y747" s="9"/>
    </row>
    <row r="748" spans="1:25" ht="15.75" customHeight="1" x14ac:dyDescent="0.35">
      <c r="A748" s="6"/>
      <c r="E748" s="9"/>
      <c r="F748" s="9"/>
      <c r="G748" s="9"/>
      <c r="M748" s="26"/>
      <c r="N748" s="26"/>
      <c r="O748" s="9"/>
      <c r="P748" s="9"/>
      <c r="W748" s="9"/>
      <c r="X748" s="9"/>
      <c r="Y748" s="9"/>
    </row>
    <row r="749" spans="1:25" ht="15.75" customHeight="1" x14ac:dyDescent="0.35">
      <c r="A749" s="6"/>
      <c r="E749" s="9"/>
      <c r="F749" s="9"/>
      <c r="G749" s="9"/>
      <c r="M749" s="26"/>
      <c r="N749" s="26"/>
      <c r="O749" s="9"/>
      <c r="P749" s="9"/>
      <c r="W749" s="9"/>
      <c r="X749" s="9"/>
      <c r="Y749" s="9"/>
    </row>
    <row r="750" spans="1:25" ht="15.75" customHeight="1" x14ac:dyDescent="0.35">
      <c r="A750" s="6"/>
      <c r="E750" s="9"/>
      <c r="F750" s="9"/>
      <c r="G750" s="9"/>
      <c r="M750" s="26"/>
      <c r="N750" s="26"/>
      <c r="O750" s="9"/>
      <c r="P750" s="9"/>
      <c r="W750" s="9"/>
      <c r="X750" s="9"/>
      <c r="Y750" s="9"/>
    </row>
    <row r="751" spans="1:25" ht="15.75" customHeight="1" x14ac:dyDescent="0.35">
      <c r="A751" s="6"/>
      <c r="E751" s="9"/>
      <c r="F751" s="9"/>
      <c r="G751" s="9"/>
      <c r="M751" s="26"/>
      <c r="N751" s="26"/>
      <c r="O751" s="9"/>
      <c r="P751" s="9"/>
      <c r="W751" s="9"/>
      <c r="X751" s="9"/>
      <c r="Y751" s="9"/>
    </row>
    <row r="752" spans="1:25" ht="15.75" customHeight="1" x14ac:dyDescent="0.35">
      <c r="A752" s="6"/>
      <c r="E752" s="9"/>
      <c r="F752" s="9"/>
      <c r="G752" s="9"/>
      <c r="M752" s="26"/>
      <c r="N752" s="26"/>
      <c r="O752" s="9"/>
      <c r="P752" s="9"/>
      <c r="W752" s="9"/>
      <c r="X752" s="9"/>
      <c r="Y752" s="9"/>
    </row>
    <row r="753" spans="1:25" ht="15.75" customHeight="1" x14ac:dyDescent="0.35">
      <c r="A753" s="6"/>
      <c r="E753" s="9"/>
      <c r="F753" s="9"/>
      <c r="G753" s="9"/>
      <c r="M753" s="26"/>
      <c r="N753" s="26"/>
      <c r="O753" s="9"/>
      <c r="P753" s="9"/>
      <c r="W753" s="9"/>
      <c r="X753" s="9"/>
      <c r="Y753" s="9"/>
    </row>
    <row r="754" spans="1:25" ht="15.75" customHeight="1" x14ac:dyDescent="0.35">
      <c r="A754" s="6"/>
      <c r="E754" s="9"/>
      <c r="F754" s="9"/>
      <c r="G754" s="9"/>
      <c r="M754" s="26"/>
      <c r="N754" s="26"/>
      <c r="O754" s="9"/>
      <c r="P754" s="9"/>
      <c r="W754" s="9"/>
      <c r="X754" s="9"/>
      <c r="Y754" s="9"/>
    </row>
    <row r="755" spans="1:25" ht="15.75" customHeight="1" x14ac:dyDescent="0.35">
      <c r="A755" s="6"/>
      <c r="E755" s="9"/>
      <c r="F755" s="9"/>
      <c r="G755" s="9"/>
      <c r="M755" s="26"/>
      <c r="N755" s="26"/>
      <c r="O755" s="9"/>
      <c r="P755" s="9"/>
      <c r="W755" s="9"/>
      <c r="X755" s="9"/>
      <c r="Y755" s="9"/>
    </row>
    <row r="756" spans="1:25" ht="15.75" customHeight="1" x14ac:dyDescent="0.35">
      <c r="A756" s="6"/>
      <c r="E756" s="9"/>
      <c r="F756" s="9"/>
      <c r="G756" s="9"/>
      <c r="M756" s="26"/>
      <c r="N756" s="26"/>
      <c r="O756" s="9"/>
      <c r="P756" s="9"/>
      <c r="W756" s="9"/>
      <c r="X756" s="9"/>
      <c r="Y756" s="9"/>
    </row>
    <row r="757" spans="1:25" ht="15.75" customHeight="1" x14ac:dyDescent="0.35">
      <c r="A757" s="6"/>
      <c r="E757" s="9"/>
      <c r="F757" s="9"/>
      <c r="G757" s="9"/>
      <c r="M757" s="26"/>
      <c r="N757" s="26"/>
      <c r="O757" s="9"/>
      <c r="P757" s="9"/>
      <c r="W757" s="9"/>
      <c r="X757" s="9"/>
      <c r="Y757" s="9"/>
    </row>
    <row r="758" spans="1:25" ht="15.75" customHeight="1" x14ac:dyDescent="0.35">
      <c r="A758" s="6"/>
      <c r="E758" s="9"/>
      <c r="F758" s="9"/>
      <c r="G758" s="9"/>
      <c r="M758" s="26"/>
      <c r="N758" s="26"/>
      <c r="O758" s="9"/>
      <c r="P758" s="9"/>
      <c r="W758" s="9"/>
      <c r="X758" s="9"/>
      <c r="Y758" s="9"/>
    </row>
    <row r="759" spans="1:25" ht="15.75" customHeight="1" x14ac:dyDescent="0.35">
      <c r="A759" s="6"/>
      <c r="E759" s="9"/>
      <c r="F759" s="9"/>
      <c r="G759" s="9"/>
      <c r="M759" s="26"/>
      <c r="N759" s="26"/>
      <c r="O759" s="9"/>
      <c r="P759" s="9"/>
      <c r="W759" s="9"/>
      <c r="X759" s="9"/>
      <c r="Y759" s="9"/>
    </row>
    <row r="760" spans="1:25" ht="15.75" customHeight="1" x14ac:dyDescent="0.35">
      <c r="A760" s="6"/>
      <c r="E760" s="9"/>
      <c r="F760" s="9"/>
      <c r="G760" s="9"/>
      <c r="M760" s="26"/>
      <c r="N760" s="26"/>
      <c r="O760" s="9"/>
      <c r="P760" s="9"/>
      <c r="W760" s="9"/>
      <c r="X760" s="9"/>
      <c r="Y760" s="9"/>
    </row>
    <row r="761" spans="1:25" ht="15.75" customHeight="1" x14ac:dyDescent="0.35">
      <c r="A761" s="6"/>
      <c r="E761" s="9"/>
      <c r="F761" s="9"/>
      <c r="G761" s="9"/>
      <c r="M761" s="26"/>
      <c r="N761" s="26"/>
      <c r="O761" s="9"/>
      <c r="P761" s="9"/>
      <c r="W761" s="9"/>
      <c r="X761" s="9"/>
      <c r="Y761" s="9"/>
    </row>
    <row r="762" spans="1:25" ht="15.75" customHeight="1" x14ac:dyDescent="0.35">
      <c r="A762" s="6"/>
      <c r="E762" s="9"/>
      <c r="F762" s="9"/>
      <c r="G762" s="9"/>
      <c r="M762" s="26"/>
      <c r="N762" s="26"/>
      <c r="O762" s="9"/>
      <c r="P762" s="9"/>
      <c r="W762" s="9"/>
      <c r="X762" s="9"/>
      <c r="Y762" s="9"/>
    </row>
    <row r="763" spans="1:25" ht="15.75" customHeight="1" x14ac:dyDescent="0.35">
      <c r="A763" s="6"/>
      <c r="E763" s="9"/>
      <c r="F763" s="9"/>
      <c r="G763" s="9"/>
      <c r="M763" s="26"/>
      <c r="N763" s="26"/>
      <c r="O763" s="9"/>
      <c r="P763" s="9"/>
      <c r="W763" s="9"/>
      <c r="X763" s="9"/>
      <c r="Y763" s="9"/>
    </row>
    <row r="764" spans="1:25" ht="15.75" customHeight="1" x14ac:dyDescent="0.35">
      <c r="A764" s="6"/>
      <c r="E764" s="9"/>
      <c r="F764" s="9"/>
      <c r="G764" s="9"/>
      <c r="M764" s="26"/>
      <c r="N764" s="26"/>
      <c r="O764" s="9"/>
      <c r="P764" s="9"/>
      <c r="W764" s="9"/>
      <c r="X764" s="9"/>
      <c r="Y764" s="9"/>
    </row>
    <row r="765" spans="1:25" ht="15.75" customHeight="1" x14ac:dyDescent="0.35">
      <c r="A765" s="6"/>
      <c r="E765" s="9"/>
      <c r="F765" s="9"/>
      <c r="G765" s="9"/>
      <c r="M765" s="26"/>
      <c r="N765" s="26"/>
      <c r="O765" s="9"/>
      <c r="P765" s="9"/>
      <c r="W765" s="9"/>
      <c r="X765" s="9"/>
      <c r="Y765" s="9"/>
    </row>
    <row r="766" spans="1:25" ht="15.75" customHeight="1" x14ac:dyDescent="0.35">
      <c r="A766" s="6"/>
      <c r="E766" s="9"/>
      <c r="F766" s="9"/>
      <c r="G766" s="9"/>
      <c r="M766" s="26"/>
      <c r="N766" s="26"/>
      <c r="O766" s="9"/>
      <c r="P766" s="9"/>
      <c r="W766" s="9"/>
      <c r="X766" s="9"/>
      <c r="Y766" s="9"/>
    </row>
    <row r="767" spans="1:25" ht="15.75" customHeight="1" x14ac:dyDescent="0.35">
      <c r="A767" s="6"/>
      <c r="E767" s="9"/>
      <c r="F767" s="9"/>
      <c r="G767" s="9"/>
      <c r="M767" s="26"/>
      <c r="N767" s="26"/>
      <c r="O767" s="9"/>
      <c r="P767" s="9"/>
      <c r="W767" s="9"/>
      <c r="X767" s="9"/>
      <c r="Y767" s="9"/>
    </row>
    <row r="768" spans="1:25" ht="15.75" customHeight="1" x14ac:dyDescent="0.35">
      <c r="A768" s="6"/>
      <c r="E768" s="9"/>
      <c r="F768" s="9"/>
      <c r="G768" s="9"/>
      <c r="M768" s="26"/>
      <c r="N768" s="26"/>
      <c r="O768" s="9"/>
      <c r="P768" s="9"/>
      <c r="W768" s="9"/>
      <c r="X768" s="9"/>
      <c r="Y768" s="9"/>
    </row>
    <row r="769" spans="1:25" ht="15.75" customHeight="1" x14ac:dyDescent="0.35">
      <c r="A769" s="6"/>
      <c r="E769" s="9"/>
      <c r="F769" s="9"/>
      <c r="G769" s="9"/>
      <c r="M769" s="26"/>
      <c r="N769" s="26"/>
      <c r="O769" s="9"/>
      <c r="P769" s="9"/>
      <c r="W769" s="9"/>
      <c r="X769" s="9"/>
      <c r="Y769" s="9"/>
    </row>
    <row r="770" spans="1:25" ht="15.75" customHeight="1" x14ac:dyDescent="0.35">
      <c r="A770" s="6"/>
      <c r="E770" s="9"/>
      <c r="F770" s="9"/>
      <c r="G770" s="9"/>
      <c r="M770" s="26"/>
      <c r="N770" s="26"/>
      <c r="O770" s="9"/>
      <c r="P770" s="9"/>
      <c r="W770" s="9"/>
      <c r="X770" s="9"/>
      <c r="Y770" s="9"/>
    </row>
    <row r="771" spans="1:25" ht="15.75" customHeight="1" x14ac:dyDescent="0.35">
      <c r="A771" s="6"/>
      <c r="E771" s="9"/>
      <c r="F771" s="9"/>
      <c r="G771" s="9"/>
      <c r="M771" s="26"/>
      <c r="N771" s="26"/>
      <c r="O771" s="9"/>
      <c r="P771" s="9"/>
      <c r="W771" s="9"/>
      <c r="X771" s="9"/>
      <c r="Y771" s="9"/>
    </row>
    <row r="772" spans="1:25" ht="15.75" customHeight="1" x14ac:dyDescent="0.35">
      <c r="A772" s="6"/>
      <c r="E772" s="9"/>
      <c r="F772" s="9"/>
      <c r="G772" s="9"/>
      <c r="M772" s="26"/>
      <c r="N772" s="26"/>
      <c r="O772" s="9"/>
      <c r="P772" s="9"/>
      <c r="W772" s="9"/>
      <c r="X772" s="9"/>
      <c r="Y772" s="9"/>
    </row>
    <row r="773" spans="1:25" ht="15.75" customHeight="1" x14ac:dyDescent="0.35">
      <c r="A773" s="6"/>
      <c r="E773" s="9"/>
      <c r="F773" s="9"/>
      <c r="G773" s="9"/>
      <c r="M773" s="26"/>
      <c r="N773" s="26"/>
      <c r="O773" s="9"/>
      <c r="P773" s="9"/>
      <c r="W773" s="9"/>
      <c r="X773" s="9"/>
      <c r="Y773" s="9"/>
    </row>
    <row r="774" spans="1:25" ht="15.75" customHeight="1" x14ac:dyDescent="0.35">
      <c r="A774" s="6"/>
      <c r="E774" s="9"/>
      <c r="F774" s="9"/>
      <c r="G774" s="9"/>
      <c r="M774" s="26"/>
      <c r="N774" s="26"/>
      <c r="O774" s="9"/>
      <c r="P774" s="9"/>
      <c r="W774" s="9"/>
      <c r="X774" s="9"/>
      <c r="Y774" s="9"/>
    </row>
    <row r="775" spans="1:25" ht="15.75" customHeight="1" x14ac:dyDescent="0.35">
      <c r="A775" s="6"/>
      <c r="E775" s="9"/>
      <c r="F775" s="9"/>
      <c r="G775" s="9"/>
      <c r="M775" s="26"/>
      <c r="N775" s="26"/>
      <c r="O775" s="9"/>
      <c r="P775" s="9"/>
      <c r="W775" s="9"/>
      <c r="X775" s="9"/>
      <c r="Y775" s="9"/>
    </row>
    <row r="776" spans="1:25" ht="15.75" customHeight="1" x14ac:dyDescent="0.35">
      <c r="A776" s="6"/>
      <c r="E776" s="9"/>
      <c r="F776" s="9"/>
      <c r="G776" s="9"/>
      <c r="M776" s="26"/>
      <c r="N776" s="26"/>
      <c r="O776" s="9"/>
      <c r="P776" s="9"/>
      <c r="W776" s="9"/>
      <c r="X776" s="9"/>
      <c r="Y776" s="9"/>
    </row>
    <row r="777" spans="1:25" ht="15.75" customHeight="1" x14ac:dyDescent="0.35">
      <c r="A777" s="6"/>
      <c r="E777" s="9"/>
      <c r="F777" s="9"/>
      <c r="G777" s="9"/>
      <c r="M777" s="26"/>
      <c r="N777" s="26"/>
      <c r="O777" s="9"/>
      <c r="P777" s="9"/>
      <c r="W777" s="9"/>
      <c r="X777" s="9"/>
      <c r="Y777" s="9"/>
    </row>
    <row r="778" spans="1:25" ht="15.75" customHeight="1" x14ac:dyDescent="0.35">
      <c r="A778" s="6"/>
      <c r="E778" s="9"/>
      <c r="F778" s="9"/>
      <c r="G778" s="9"/>
      <c r="M778" s="26"/>
      <c r="N778" s="26"/>
      <c r="O778" s="9"/>
      <c r="P778" s="9"/>
      <c r="W778" s="9"/>
      <c r="X778" s="9"/>
      <c r="Y778" s="9"/>
    </row>
    <row r="779" spans="1:25" ht="15.75" customHeight="1" x14ac:dyDescent="0.35">
      <c r="A779" s="6"/>
      <c r="E779" s="9"/>
      <c r="F779" s="9"/>
      <c r="G779" s="9"/>
      <c r="M779" s="26"/>
      <c r="N779" s="26"/>
      <c r="O779" s="9"/>
      <c r="P779" s="9"/>
      <c r="W779" s="9"/>
      <c r="X779" s="9"/>
      <c r="Y779" s="9"/>
    </row>
    <row r="780" spans="1:25" ht="15.75" customHeight="1" x14ac:dyDescent="0.35">
      <c r="A780" s="6"/>
      <c r="E780" s="9"/>
      <c r="F780" s="9"/>
      <c r="G780" s="9"/>
      <c r="M780" s="26"/>
      <c r="N780" s="26"/>
      <c r="O780" s="9"/>
      <c r="P780" s="9"/>
      <c r="W780" s="9"/>
      <c r="X780" s="9"/>
      <c r="Y780" s="9"/>
    </row>
    <row r="781" spans="1:25" ht="15.75" customHeight="1" x14ac:dyDescent="0.35">
      <c r="A781" s="6"/>
      <c r="E781" s="9"/>
      <c r="F781" s="9"/>
      <c r="G781" s="9"/>
      <c r="M781" s="26"/>
      <c r="N781" s="26"/>
      <c r="O781" s="9"/>
      <c r="P781" s="9"/>
      <c r="W781" s="9"/>
      <c r="X781" s="9"/>
      <c r="Y781" s="9"/>
    </row>
    <row r="782" spans="1:25" ht="15.75" customHeight="1" x14ac:dyDescent="0.35">
      <c r="A782" s="6"/>
      <c r="E782" s="9"/>
      <c r="F782" s="9"/>
      <c r="G782" s="9"/>
      <c r="M782" s="26"/>
      <c r="N782" s="26"/>
      <c r="O782" s="9"/>
      <c r="P782" s="9"/>
      <c r="W782" s="9"/>
      <c r="X782" s="9"/>
      <c r="Y782" s="9"/>
    </row>
    <row r="783" spans="1:25" ht="15.75" customHeight="1" x14ac:dyDescent="0.35">
      <c r="A783" s="6"/>
      <c r="E783" s="9"/>
      <c r="F783" s="9"/>
      <c r="G783" s="9"/>
      <c r="M783" s="26"/>
      <c r="N783" s="26"/>
      <c r="O783" s="9"/>
      <c r="P783" s="9"/>
      <c r="W783" s="9"/>
      <c r="X783" s="9"/>
      <c r="Y783" s="9"/>
    </row>
    <row r="784" spans="1:25" ht="15.75" customHeight="1" x14ac:dyDescent="0.35">
      <c r="A784" s="6"/>
      <c r="E784" s="9"/>
      <c r="F784" s="9"/>
      <c r="G784" s="9"/>
      <c r="M784" s="26"/>
      <c r="N784" s="26"/>
      <c r="O784" s="9"/>
      <c r="P784" s="9"/>
      <c r="W784" s="9"/>
      <c r="X784" s="9"/>
      <c r="Y784" s="9"/>
    </row>
    <row r="785" spans="1:25" ht="15.75" customHeight="1" x14ac:dyDescent="0.35">
      <c r="A785" s="6"/>
      <c r="E785" s="9"/>
      <c r="F785" s="9"/>
      <c r="G785" s="9"/>
      <c r="M785" s="26"/>
      <c r="N785" s="26"/>
      <c r="O785" s="9"/>
      <c r="P785" s="9"/>
      <c r="W785" s="9"/>
      <c r="X785" s="9"/>
      <c r="Y785" s="9"/>
    </row>
    <row r="786" spans="1:25" ht="15.75" customHeight="1" x14ac:dyDescent="0.35">
      <c r="A786" s="6"/>
      <c r="E786" s="9"/>
      <c r="F786" s="9"/>
      <c r="G786" s="9"/>
      <c r="M786" s="26"/>
      <c r="N786" s="26"/>
      <c r="O786" s="9"/>
      <c r="P786" s="9"/>
      <c r="W786" s="9"/>
      <c r="X786" s="9"/>
      <c r="Y786" s="9"/>
    </row>
    <row r="787" spans="1:25" ht="15.75" customHeight="1" x14ac:dyDescent="0.35">
      <c r="A787" s="6"/>
      <c r="E787" s="9"/>
      <c r="F787" s="9"/>
      <c r="G787" s="9"/>
      <c r="M787" s="26"/>
      <c r="N787" s="26"/>
      <c r="O787" s="9"/>
      <c r="P787" s="9"/>
      <c r="W787" s="9"/>
      <c r="X787" s="9"/>
      <c r="Y787" s="9"/>
    </row>
    <row r="788" spans="1:25" ht="15.75" customHeight="1" x14ac:dyDescent="0.35">
      <c r="A788" s="6"/>
      <c r="E788" s="9"/>
      <c r="F788" s="9"/>
      <c r="G788" s="9"/>
      <c r="M788" s="26"/>
      <c r="N788" s="26"/>
      <c r="O788" s="9"/>
      <c r="P788" s="9"/>
      <c r="W788" s="9"/>
      <c r="X788" s="9"/>
      <c r="Y788" s="9"/>
    </row>
    <row r="789" spans="1:25" ht="15.75" customHeight="1" x14ac:dyDescent="0.35">
      <c r="A789" s="6"/>
      <c r="E789" s="9"/>
      <c r="F789" s="9"/>
      <c r="G789" s="9"/>
      <c r="M789" s="26"/>
      <c r="N789" s="26"/>
      <c r="O789" s="9"/>
      <c r="P789" s="9"/>
      <c r="W789" s="9"/>
      <c r="X789" s="9"/>
      <c r="Y789" s="9"/>
    </row>
    <row r="790" spans="1:25" ht="15.75" customHeight="1" x14ac:dyDescent="0.35">
      <c r="A790" s="6"/>
      <c r="E790" s="9"/>
      <c r="F790" s="9"/>
      <c r="G790" s="9"/>
      <c r="M790" s="26"/>
      <c r="N790" s="26"/>
      <c r="O790" s="9"/>
      <c r="P790" s="9"/>
      <c r="W790" s="9"/>
      <c r="X790" s="9"/>
      <c r="Y790" s="9"/>
    </row>
    <row r="791" spans="1:25" ht="15.75" customHeight="1" x14ac:dyDescent="0.35">
      <c r="A791" s="6"/>
      <c r="E791" s="9"/>
      <c r="F791" s="9"/>
      <c r="G791" s="9"/>
      <c r="M791" s="26"/>
      <c r="N791" s="26"/>
      <c r="O791" s="9"/>
      <c r="P791" s="9"/>
      <c r="W791" s="9"/>
      <c r="X791" s="9"/>
      <c r="Y791" s="9"/>
    </row>
    <row r="792" spans="1:25" ht="15.75" customHeight="1" x14ac:dyDescent="0.35">
      <c r="A792" s="6"/>
      <c r="E792" s="9"/>
      <c r="F792" s="9"/>
      <c r="G792" s="9"/>
      <c r="M792" s="26"/>
      <c r="N792" s="26"/>
      <c r="O792" s="9"/>
      <c r="P792" s="9"/>
      <c r="W792" s="9"/>
      <c r="X792" s="9"/>
      <c r="Y792" s="9"/>
    </row>
    <row r="793" spans="1:25" ht="15.75" customHeight="1" x14ac:dyDescent="0.35">
      <c r="A793" s="6"/>
      <c r="E793" s="9"/>
      <c r="F793" s="9"/>
      <c r="G793" s="9"/>
      <c r="M793" s="26"/>
      <c r="N793" s="26"/>
      <c r="O793" s="9"/>
      <c r="P793" s="9"/>
      <c r="W793" s="9"/>
      <c r="X793" s="9"/>
      <c r="Y793" s="9"/>
    </row>
    <row r="794" spans="1:25" ht="15.75" customHeight="1" x14ac:dyDescent="0.35">
      <c r="A794" s="6"/>
      <c r="E794" s="9"/>
      <c r="F794" s="9"/>
      <c r="G794" s="9"/>
      <c r="M794" s="26"/>
      <c r="N794" s="26"/>
      <c r="O794" s="9"/>
      <c r="P794" s="9"/>
      <c r="W794" s="9"/>
      <c r="X794" s="9"/>
      <c r="Y794" s="9"/>
    </row>
    <row r="795" spans="1:25" ht="15.75" customHeight="1" x14ac:dyDescent="0.35">
      <c r="A795" s="6"/>
      <c r="E795" s="9"/>
      <c r="F795" s="9"/>
      <c r="G795" s="9"/>
      <c r="M795" s="26"/>
      <c r="N795" s="26"/>
      <c r="O795" s="9"/>
      <c r="P795" s="9"/>
      <c r="W795" s="9"/>
      <c r="X795" s="9"/>
      <c r="Y795" s="9"/>
    </row>
    <row r="796" spans="1:25" ht="15.75" customHeight="1" x14ac:dyDescent="0.35">
      <c r="A796" s="6"/>
      <c r="E796" s="9"/>
      <c r="F796" s="9"/>
      <c r="G796" s="9"/>
      <c r="M796" s="26"/>
      <c r="N796" s="26"/>
      <c r="O796" s="9"/>
      <c r="P796" s="9"/>
      <c r="W796" s="9"/>
      <c r="X796" s="9"/>
      <c r="Y796" s="9"/>
    </row>
    <row r="797" spans="1:25" ht="15.75" customHeight="1" x14ac:dyDescent="0.35">
      <c r="A797" s="6"/>
      <c r="E797" s="9"/>
      <c r="F797" s="9"/>
      <c r="G797" s="9"/>
      <c r="M797" s="26"/>
      <c r="N797" s="26"/>
      <c r="O797" s="9"/>
      <c r="P797" s="9"/>
      <c r="W797" s="9"/>
      <c r="X797" s="9"/>
      <c r="Y797" s="9"/>
    </row>
    <row r="798" spans="1:25" ht="15.75" customHeight="1" x14ac:dyDescent="0.35">
      <c r="A798" s="6"/>
      <c r="E798" s="9"/>
      <c r="F798" s="9"/>
      <c r="G798" s="9"/>
      <c r="M798" s="26"/>
      <c r="N798" s="26"/>
      <c r="O798" s="9"/>
      <c r="P798" s="9"/>
      <c r="W798" s="9"/>
      <c r="X798" s="9"/>
      <c r="Y798" s="9"/>
    </row>
    <row r="799" spans="1:25" ht="15.75" customHeight="1" x14ac:dyDescent="0.35">
      <c r="A799" s="6"/>
      <c r="E799" s="9"/>
      <c r="F799" s="9"/>
      <c r="G799" s="9"/>
      <c r="M799" s="26"/>
      <c r="N799" s="26"/>
      <c r="O799" s="9"/>
      <c r="P799" s="9"/>
      <c r="W799" s="9"/>
      <c r="X799" s="9"/>
      <c r="Y799" s="9"/>
    </row>
    <row r="800" spans="1:25" ht="15.75" customHeight="1" x14ac:dyDescent="0.35">
      <c r="A800" s="6"/>
      <c r="E800" s="9"/>
      <c r="F800" s="9"/>
      <c r="G800" s="9"/>
      <c r="M800" s="26"/>
      <c r="N800" s="26"/>
      <c r="O800" s="9"/>
      <c r="P800" s="9"/>
      <c r="W800" s="9"/>
      <c r="X800" s="9"/>
      <c r="Y800" s="9"/>
    </row>
    <row r="801" spans="1:25" ht="15.75" customHeight="1" x14ac:dyDescent="0.35">
      <c r="A801" s="6"/>
      <c r="E801" s="9"/>
      <c r="F801" s="9"/>
      <c r="G801" s="9"/>
      <c r="M801" s="26"/>
      <c r="N801" s="26"/>
      <c r="O801" s="9"/>
      <c r="P801" s="9"/>
      <c r="W801" s="9"/>
      <c r="X801" s="9"/>
      <c r="Y801" s="9"/>
    </row>
    <row r="802" spans="1:25" ht="15.75" customHeight="1" x14ac:dyDescent="0.35">
      <c r="A802" s="6"/>
      <c r="E802" s="9"/>
      <c r="F802" s="9"/>
      <c r="G802" s="9"/>
      <c r="M802" s="26"/>
      <c r="N802" s="26"/>
      <c r="O802" s="9"/>
      <c r="P802" s="9"/>
      <c r="W802" s="9"/>
      <c r="X802" s="9"/>
      <c r="Y802" s="9"/>
    </row>
    <row r="803" spans="1:25" ht="15.75" customHeight="1" x14ac:dyDescent="0.35">
      <c r="A803" s="6"/>
      <c r="E803" s="9"/>
      <c r="F803" s="9"/>
      <c r="G803" s="9"/>
      <c r="M803" s="26"/>
      <c r="N803" s="26"/>
      <c r="O803" s="9"/>
      <c r="P803" s="9"/>
      <c r="W803" s="9"/>
      <c r="X803" s="9"/>
      <c r="Y803" s="9"/>
    </row>
    <row r="804" spans="1:25" ht="15.75" customHeight="1" x14ac:dyDescent="0.35">
      <c r="A804" s="6"/>
      <c r="E804" s="9"/>
      <c r="F804" s="9"/>
      <c r="G804" s="9"/>
      <c r="M804" s="26"/>
      <c r="N804" s="26"/>
      <c r="O804" s="9"/>
      <c r="P804" s="9"/>
      <c r="W804" s="9"/>
      <c r="X804" s="9"/>
      <c r="Y804" s="9"/>
    </row>
    <row r="805" spans="1:25" ht="15.75" customHeight="1" x14ac:dyDescent="0.35">
      <c r="A805" s="6"/>
      <c r="E805" s="9"/>
      <c r="F805" s="9"/>
      <c r="G805" s="9"/>
      <c r="M805" s="26"/>
      <c r="N805" s="26"/>
      <c r="O805" s="9"/>
      <c r="P805" s="9"/>
      <c r="W805" s="9"/>
      <c r="X805" s="9"/>
      <c r="Y805" s="9"/>
    </row>
    <row r="806" spans="1:25" ht="15.75" customHeight="1" x14ac:dyDescent="0.35">
      <c r="A806" s="6"/>
      <c r="E806" s="9"/>
      <c r="F806" s="9"/>
      <c r="G806" s="9"/>
      <c r="M806" s="26"/>
      <c r="N806" s="26"/>
      <c r="O806" s="9"/>
      <c r="P806" s="9"/>
      <c r="W806" s="9"/>
      <c r="X806" s="9"/>
      <c r="Y806" s="9"/>
    </row>
    <row r="807" spans="1:25" ht="15.75" customHeight="1" x14ac:dyDescent="0.35">
      <c r="A807" s="6"/>
      <c r="E807" s="9"/>
      <c r="F807" s="9"/>
      <c r="G807" s="9"/>
      <c r="M807" s="26"/>
      <c r="N807" s="26"/>
      <c r="O807" s="9"/>
      <c r="P807" s="9"/>
      <c r="W807" s="9"/>
      <c r="X807" s="9"/>
      <c r="Y807" s="9"/>
    </row>
    <row r="808" spans="1:25" ht="15.75" customHeight="1" x14ac:dyDescent="0.35">
      <c r="A808" s="6"/>
      <c r="E808" s="9"/>
      <c r="F808" s="9"/>
      <c r="G808" s="9"/>
      <c r="M808" s="26"/>
      <c r="N808" s="26"/>
      <c r="O808" s="9"/>
      <c r="P808" s="9"/>
      <c r="W808" s="9"/>
      <c r="X808" s="9"/>
      <c r="Y808" s="9"/>
    </row>
    <row r="809" spans="1:25" ht="15.75" customHeight="1" x14ac:dyDescent="0.35">
      <c r="A809" s="6"/>
      <c r="E809" s="9"/>
      <c r="F809" s="9"/>
      <c r="G809" s="9"/>
      <c r="M809" s="26"/>
      <c r="N809" s="26"/>
      <c r="O809" s="9"/>
      <c r="P809" s="9"/>
      <c r="W809" s="9"/>
      <c r="X809" s="9"/>
      <c r="Y809" s="9"/>
    </row>
    <row r="810" spans="1:25" ht="15.75" customHeight="1" x14ac:dyDescent="0.35">
      <c r="A810" s="6"/>
      <c r="E810" s="9"/>
      <c r="F810" s="9"/>
      <c r="G810" s="9"/>
      <c r="M810" s="26"/>
      <c r="N810" s="26"/>
      <c r="O810" s="9"/>
      <c r="P810" s="9"/>
      <c r="W810" s="9"/>
      <c r="X810" s="9"/>
      <c r="Y810" s="9"/>
    </row>
    <row r="811" spans="1:25" ht="15.75" customHeight="1" x14ac:dyDescent="0.35">
      <c r="A811" s="6"/>
      <c r="E811" s="9"/>
      <c r="F811" s="9"/>
      <c r="G811" s="9"/>
      <c r="M811" s="26"/>
      <c r="N811" s="26"/>
      <c r="O811" s="9"/>
      <c r="P811" s="9"/>
      <c r="W811" s="9"/>
      <c r="X811" s="9"/>
      <c r="Y811" s="9"/>
    </row>
    <row r="812" spans="1:25" ht="15.75" customHeight="1" x14ac:dyDescent="0.35">
      <c r="A812" s="6"/>
      <c r="E812" s="9"/>
      <c r="F812" s="9"/>
      <c r="G812" s="9"/>
      <c r="M812" s="26"/>
      <c r="N812" s="26"/>
      <c r="O812" s="9"/>
      <c r="P812" s="9"/>
      <c r="W812" s="9"/>
      <c r="X812" s="9"/>
      <c r="Y812" s="9"/>
    </row>
    <row r="813" spans="1:25" ht="15.75" customHeight="1" x14ac:dyDescent="0.35">
      <c r="A813" s="6"/>
      <c r="E813" s="9"/>
      <c r="F813" s="9"/>
      <c r="G813" s="9"/>
      <c r="M813" s="26"/>
      <c r="N813" s="26"/>
      <c r="O813" s="9"/>
      <c r="P813" s="9"/>
      <c r="W813" s="9"/>
      <c r="X813" s="9"/>
      <c r="Y813" s="9"/>
    </row>
    <row r="814" spans="1:25" ht="15.75" customHeight="1" x14ac:dyDescent="0.35">
      <c r="A814" s="6"/>
      <c r="E814" s="9"/>
      <c r="F814" s="9"/>
      <c r="G814" s="9"/>
      <c r="M814" s="26"/>
      <c r="N814" s="26"/>
      <c r="O814" s="9"/>
      <c r="P814" s="9"/>
      <c r="W814" s="9"/>
      <c r="X814" s="9"/>
      <c r="Y814" s="9"/>
    </row>
    <row r="815" spans="1:25" ht="15.75" customHeight="1" x14ac:dyDescent="0.35">
      <c r="A815" s="6"/>
      <c r="E815" s="9"/>
      <c r="F815" s="9"/>
      <c r="G815" s="9"/>
      <c r="M815" s="26"/>
      <c r="N815" s="26"/>
      <c r="O815" s="9"/>
      <c r="P815" s="9"/>
      <c r="W815" s="9"/>
      <c r="X815" s="9"/>
      <c r="Y815" s="9"/>
    </row>
    <row r="816" spans="1:25" ht="15.75" customHeight="1" x14ac:dyDescent="0.35">
      <c r="A816" s="6"/>
      <c r="E816" s="9"/>
      <c r="F816" s="9"/>
      <c r="G816" s="9"/>
      <c r="M816" s="26"/>
      <c r="N816" s="26"/>
      <c r="O816" s="9"/>
      <c r="P816" s="9"/>
      <c r="W816" s="9"/>
      <c r="X816" s="9"/>
      <c r="Y816" s="9"/>
    </row>
    <row r="817" spans="1:25" ht="15.75" customHeight="1" x14ac:dyDescent="0.35">
      <c r="A817" s="6"/>
      <c r="E817" s="9"/>
      <c r="F817" s="9"/>
      <c r="G817" s="9"/>
      <c r="M817" s="26"/>
      <c r="N817" s="26"/>
      <c r="O817" s="9"/>
      <c r="P817" s="9"/>
      <c r="W817" s="9"/>
      <c r="X817" s="9"/>
      <c r="Y817" s="9"/>
    </row>
    <row r="818" spans="1:25" ht="15.75" customHeight="1" x14ac:dyDescent="0.35">
      <c r="A818" s="6"/>
      <c r="E818" s="9"/>
      <c r="F818" s="9"/>
      <c r="G818" s="9"/>
      <c r="M818" s="26"/>
      <c r="N818" s="26"/>
      <c r="O818" s="9"/>
      <c r="P818" s="9"/>
      <c r="W818" s="9"/>
      <c r="X818" s="9"/>
      <c r="Y818" s="9"/>
    </row>
    <row r="819" spans="1:25" ht="15.75" customHeight="1" x14ac:dyDescent="0.35">
      <c r="A819" s="6"/>
      <c r="E819" s="9"/>
      <c r="F819" s="9"/>
      <c r="G819" s="9"/>
      <c r="M819" s="26"/>
      <c r="N819" s="26"/>
      <c r="O819" s="9"/>
      <c r="P819" s="9"/>
      <c r="W819" s="9"/>
      <c r="X819" s="9"/>
      <c r="Y819" s="9"/>
    </row>
    <row r="820" spans="1:25" ht="15.75" customHeight="1" x14ac:dyDescent="0.35">
      <c r="A820" s="6"/>
      <c r="E820" s="9"/>
      <c r="F820" s="9"/>
      <c r="G820" s="9"/>
      <c r="M820" s="26"/>
      <c r="N820" s="26"/>
      <c r="O820" s="9"/>
      <c r="P820" s="9"/>
      <c r="W820" s="9"/>
      <c r="X820" s="9"/>
      <c r="Y820" s="9"/>
    </row>
    <row r="821" spans="1:25" ht="15.75" customHeight="1" x14ac:dyDescent="0.35">
      <c r="A821" s="6"/>
      <c r="E821" s="9"/>
      <c r="F821" s="9"/>
      <c r="G821" s="9"/>
      <c r="M821" s="26"/>
      <c r="N821" s="26"/>
      <c r="O821" s="9"/>
      <c r="P821" s="9"/>
      <c r="W821" s="9"/>
      <c r="X821" s="9"/>
      <c r="Y821" s="9"/>
    </row>
    <row r="822" spans="1:25" ht="15.75" customHeight="1" x14ac:dyDescent="0.35">
      <c r="A822" s="6"/>
      <c r="E822" s="9"/>
      <c r="F822" s="9"/>
      <c r="G822" s="9"/>
      <c r="M822" s="26"/>
      <c r="N822" s="26"/>
      <c r="O822" s="9"/>
      <c r="P822" s="9"/>
      <c r="W822" s="9"/>
      <c r="X822" s="9"/>
      <c r="Y822" s="9"/>
    </row>
    <row r="823" spans="1:25" ht="15.75" customHeight="1" x14ac:dyDescent="0.35">
      <c r="A823" s="6"/>
      <c r="E823" s="9"/>
      <c r="F823" s="9"/>
      <c r="G823" s="9"/>
      <c r="M823" s="26"/>
      <c r="N823" s="26"/>
      <c r="O823" s="9"/>
      <c r="P823" s="9"/>
      <c r="W823" s="9"/>
      <c r="X823" s="9"/>
      <c r="Y823" s="9"/>
    </row>
    <row r="824" spans="1:25" ht="15.75" customHeight="1" x14ac:dyDescent="0.35">
      <c r="A824" s="6"/>
      <c r="E824" s="9"/>
      <c r="F824" s="9"/>
      <c r="G824" s="9"/>
      <c r="M824" s="26"/>
      <c r="N824" s="26"/>
      <c r="O824" s="9"/>
      <c r="P824" s="9"/>
      <c r="W824" s="9"/>
      <c r="X824" s="9"/>
      <c r="Y824" s="9"/>
    </row>
    <row r="825" spans="1:25" ht="15.75" customHeight="1" x14ac:dyDescent="0.35">
      <c r="A825" s="6"/>
      <c r="E825" s="9"/>
      <c r="F825" s="9"/>
      <c r="G825" s="9"/>
      <c r="M825" s="26"/>
      <c r="N825" s="26"/>
      <c r="O825" s="9"/>
      <c r="P825" s="9"/>
      <c r="W825" s="9"/>
      <c r="X825" s="9"/>
      <c r="Y825" s="9"/>
    </row>
    <row r="826" spans="1:25" ht="15.75" customHeight="1" x14ac:dyDescent="0.35">
      <c r="A826" s="6"/>
      <c r="E826" s="9"/>
      <c r="F826" s="9"/>
      <c r="G826" s="9"/>
      <c r="M826" s="26"/>
      <c r="N826" s="26"/>
      <c r="O826" s="9"/>
      <c r="P826" s="9"/>
      <c r="W826" s="9"/>
      <c r="X826" s="9"/>
      <c r="Y826" s="9"/>
    </row>
    <row r="827" spans="1:25" ht="15.75" customHeight="1" x14ac:dyDescent="0.35">
      <c r="A827" s="6"/>
      <c r="E827" s="9"/>
      <c r="F827" s="9"/>
      <c r="G827" s="9"/>
      <c r="M827" s="26"/>
      <c r="N827" s="26"/>
      <c r="O827" s="9"/>
      <c r="P827" s="9"/>
      <c r="W827" s="9"/>
      <c r="X827" s="9"/>
      <c r="Y827" s="9"/>
    </row>
    <row r="828" spans="1:25" ht="15.75" customHeight="1" x14ac:dyDescent="0.35">
      <c r="A828" s="6"/>
      <c r="E828" s="9"/>
      <c r="F828" s="9"/>
      <c r="G828" s="9"/>
      <c r="M828" s="26"/>
      <c r="N828" s="26"/>
      <c r="O828" s="9"/>
      <c r="P828" s="9"/>
      <c r="W828" s="9"/>
      <c r="X828" s="9"/>
      <c r="Y828" s="9"/>
    </row>
    <row r="829" spans="1:25" ht="15.75" customHeight="1" x14ac:dyDescent="0.35">
      <c r="A829" s="6"/>
      <c r="E829" s="9"/>
      <c r="F829" s="9"/>
      <c r="G829" s="9"/>
      <c r="M829" s="26"/>
      <c r="N829" s="26"/>
      <c r="O829" s="9"/>
      <c r="P829" s="9"/>
      <c r="W829" s="9"/>
      <c r="X829" s="9"/>
      <c r="Y829" s="9"/>
    </row>
    <row r="830" spans="1:25" ht="15.75" customHeight="1" x14ac:dyDescent="0.35">
      <c r="A830" s="6"/>
      <c r="E830" s="9"/>
      <c r="F830" s="9"/>
      <c r="G830" s="9"/>
      <c r="M830" s="26"/>
      <c r="N830" s="26"/>
      <c r="O830" s="9"/>
      <c r="P830" s="9"/>
      <c r="W830" s="9"/>
      <c r="X830" s="9"/>
      <c r="Y830" s="9"/>
    </row>
    <row r="831" spans="1:25" ht="15.75" customHeight="1" x14ac:dyDescent="0.35">
      <c r="A831" s="6"/>
      <c r="E831" s="9"/>
      <c r="F831" s="9"/>
      <c r="G831" s="9"/>
      <c r="M831" s="26"/>
      <c r="N831" s="26"/>
      <c r="O831" s="9"/>
      <c r="P831" s="9"/>
      <c r="W831" s="9"/>
      <c r="X831" s="9"/>
      <c r="Y831" s="9"/>
    </row>
    <row r="832" spans="1:25" ht="15.75" customHeight="1" x14ac:dyDescent="0.35">
      <c r="A832" s="6"/>
      <c r="E832" s="9"/>
      <c r="F832" s="9"/>
      <c r="G832" s="9"/>
      <c r="M832" s="26"/>
      <c r="N832" s="26"/>
      <c r="O832" s="9"/>
      <c r="P832" s="9"/>
      <c r="W832" s="9"/>
      <c r="X832" s="9"/>
      <c r="Y832" s="9"/>
    </row>
    <row r="833" spans="1:25" ht="15.75" customHeight="1" x14ac:dyDescent="0.35">
      <c r="A833" s="6"/>
      <c r="E833" s="9"/>
      <c r="F833" s="9"/>
      <c r="G833" s="9"/>
      <c r="M833" s="26"/>
      <c r="N833" s="26"/>
      <c r="O833" s="9"/>
      <c r="P833" s="9"/>
      <c r="W833" s="9"/>
      <c r="X833" s="9"/>
      <c r="Y833" s="9"/>
    </row>
    <row r="834" spans="1:25" ht="15.75" customHeight="1" x14ac:dyDescent="0.35">
      <c r="A834" s="6"/>
      <c r="E834" s="9"/>
      <c r="F834" s="9"/>
      <c r="G834" s="9"/>
      <c r="M834" s="26"/>
      <c r="N834" s="26"/>
      <c r="O834" s="9"/>
      <c r="P834" s="9"/>
      <c r="W834" s="9"/>
      <c r="X834" s="9"/>
      <c r="Y834" s="9"/>
    </row>
    <row r="835" spans="1:25" ht="15.75" customHeight="1" x14ac:dyDescent="0.35">
      <c r="A835" s="6"/>
      <c r="E835" s="9"/>
      <c r="F835" s="9"/>
      <c r="G835" s="9"/>
      <c r="M835" s="26"/>
      <c r="N835" s="26"/>
      <c r="O835" s="9"/>
      <c r="P835" s="9"/>
      <c r="W835" s="9"/>
      <c r="X835" s="9"/>
      <c r="Y835" s="9"/>
    </row>
    <row r="836" spans="1:25" ht="15.75" customHeight="1" x14ac:dyDescent="0.35">
      <c r="A836" s="6"/>
      <c r="E836" s="9"/>
      <c r="F836" s="9"/>
      <c r="G836" s="9"/>
      <c r="M836" s="26"/>
      <c r="N836" s="26"/>
      <c r="O836" s="9"/>
      <c r="P836" s="9"/>
      <c r="W836" s="9"/>
      <c r="X836" s="9"/>
      <c r="Y836" s="9"/>
    </row>
    <row r="837" spans="1:25" ht="15.75" customHeight="1" x14ac:dyDescent="0.35">
      <c r="A837" s="6"/>
      <c r="E837" s="9"/>
      <c r="F837" s="9"/>
      <c r="G837" s="9"/>
      <c r="M837" s="26"/>
      <c r="N837" s="26"/>
      <c r="O837" s="9"/>
      <c r="P837" s="9"/>
      <c r="W837" s="9"/>
      <c r="X837" s="9"/>
      <c r="Y837" s="9"/>
    </row>
    <row r="838" spans="1:25" ht="15.75" customHeight="1" x14ac:dyDescent="0.35">
      <c r="A838" s="6"/>
      <c r="E838" s="9"/>
      <c r="F838" s="9"/>
      <c r="G838" s="9"/>
      <c r="M838" s="26"/>
      <c r="N838" s="26"/>
      <c r="O838" s="9"/>
      <c r="P838" s="9"/>
      <c r="W838" s="9"/>
      <c r="X838" s="9"/>
      <c r="Y838" s="9"/>
    </row>
    <row r="839" spans="1:25" ht="15.75" customHeight="1" x14ac:dyDescent="0.35">
      <c r="A839" s="6"/>
      <c r="E839" s="9"/>
      <c r="F839" s="9"/>
      <c r="G839" s="9"/>
      <c r="M839" s="26"/>
      <c r="N839" s="26"/>
      <c r="O839" s="9"/>
      <c r="P839" s="9"/>
      <c r="W839" s="9"/>
      <c r="X839" s="9"/>
      <c r="Y839" s="9"/>
    </row>
    <row r="840" spans="1:25" ht="15.75" customHeight="1" x14ac:dyDescent="0.35">
      <c r="A840" s="6"/>
      <c r="E840" s="9"/>
      <c r="F840" s="9"/>
      <c r="G840" s="9"/>
      <c r="M840" s="26"/>
      <c r="N840" s="26"/>
      <c r="O840" s="9"/>
      <c r="P840" s="9"/>
      <c r="W840" s="9"/>
      <c r="X840" s="9"/>
      <c r="Y840" s="9"/>
    </row>
    <row r="841" spans="1:25" ht="15.75" customHeight="1" x14ac:dyDescent="0.35">
      <c r="A841" s="6"/>
      <c r="E841" s="9"/>
      <c r="F841" s="9"/>
      <c r="G841" s="9"/>
      <c r="M841" s="26"/>
      <c r="N841" s="26"/>
      <c r="O841" s="9"/>
      <c r="P841" s="9"/>
      <c r="W841" s="9"/>
      <c r="X841" s="9"/>
      <c r="Y841" s="9"/>
    </row>
    <row r="842" spans="1:25" ht="15.75" customHeight="1" x14ac:dyDescent="0.35">
      <c r="A842" s="6"/>
      <c r="E842" s="9"/>
      <c r="F842" s="9"/>
      <c r="G842" s="9"/>
      <c r="M842" s="26"/>
      <c r="N842" s="26"/>
      <c r="O842" s="9"/>
      <c r="P842" s="9"/>
      <c r="W842" s="9"/>
      <c r="X842" s="9"/>
      <c r="Y842" s="9"/>
    </row>
    <row r="843" spans="1:25" ht="15.75" customHeight="1" x14ac:dyDescent="0.35">
      <c r="A843" s="6"/>
      <c r="E843" s="9"/>
      <c r="F843" s="9"/>
      <c r="G843" s="9"/>
      <c r="M843" s="26"/>
      <c r="N843" s="26"/>
      <c r="O843" s="9"/>
      <c r="P843" s="9"/>
      <c r="W843" s="9"/>
      <c r="X843" s="9"/>
      <c r="Y843" s="9"/>
    </row>
    <row r="844" spans="1:25" ht="15.75" customHeight="1" x14ac:dyDescent="0.35">
      <c r="A844" s="6"/>
      <c r="E844" s="9"/>
      <c r="F844" s="9"/>
      <c r="G844" s="9"/>
      <c r="M844" s="26"/>
      <c r="N844" s="26"/>
      <c r="O844" s="9"/>
      <c r="P844" s="9"/>
      <c r="W844" s="9"/>
      <c r="X844" s="9"/>
      <c r="Y844" s="9"/>
    </row>
    <row r="845" spans="1:25" ht="15.75" customHeight="1" x14ac:dyDescent="0.35">
      <c r="A845" s="6"/>
      <c r="E845" s="9"/>
      <c r="F845" s="9"/>
      <c r="G845" s="9"/>
      <c r="M845" s="26"/>
      <c r="N845" s="26"/>
      <c r="O845" s="9"/>
      <c r="P845" s="9"/>
      <c r="W845" s="9"/>
      <c r="X845" s="9"/>
      <c r="Y845" s="9"/>
    </row>
    <row r="846" spans="1:25" ht="15.75" customHeight="1" x14ac:dyDescent="0.35">
      <c r="A846" s="6"/>
      <c r="E846" s="9"/>
      <c r="F846" s="9"/>
      <c r="G846" s="9"/>
      <c r="M846" s="26"/>
      <c r="N846" s="26"/>
      <c r="O846" s="9"/>
      <c r="P846" s="9"/>
      <c r="W846" s="9"/>
      <c r="X846" s="9"/>
      <c r="Y846" s="9"/>
    </row>
    <row r="847" spans="1:25" ht="15.75" customHeight="1" x14ac:dyDescent="0.35">
      <c r="A847" s="6"/>
      <c r="E847" s="9"/>
      <c r="F847" s="9"/>
      <c r="G847" s="9"/>
      <c r="M847" s="26"/>
      <c r="N847" s="26"/>
      <c r="O847" s="9"/>
      <c r="P847" s="9"/>
      <c r="W847" s="9"/>
      <c r="X847" s="9"/>
      <c r="Y847" s="9"/>
    </row>
    <row r="848" spans="1:25" ht="15.75" customHeight="1" x14ac:dyDescent="0.35">
      <c r="A848" s="6"/>
      <c r="E848" s="9"/>
      <c r="F848" s="9"/>
      <c r="G848" s="9"/>
      <c r="M848" s="26"/>
      <c r="N848" s="26"/>
      <c r="O848" s="9"/>
      <c r="P848" s="9"/>
      <c r="W848" s="9"/>
      <c r="X848" s="9"/>
      <c r="Y848" s="9"/>
    </row>
    <row r="849" spans="1:25" ht="15.75" customHeight="1" x14ac:dyDescent="0.35">
      <c r="A849" s="6"/>
      <c r="E849" s="9"/>
      <c r="F849" s="9"/>
      <c r="G849" s="9"/>
      <c r="M849" s="26"/>
      <c r="N849" s="26"/>
      <c r="O849" s="9"/>
      <c r="P849" s="9"/>
      <c r="W849" s="9"/>
      <c r="X849" s="9"/>
      <c r="Y849" s="9"/>
    </row>
    <row r="850" spans="1:25" ht="15.75" customHeight="1" x14ac:dyDescent="0.35">
      <c r="A850" s="6"/>
      <c r="E850" s="9"/>
      <c r="F850" s="9"/>
      <c r="G850" s="9"/>
      <c r="M850" s="26"/>
      <c r="N850" s="26"/>
      <c r="O850" s="9"/>
      <c r="P850" s="9"/>
      <c r="W850" s="9"/>
      <c r="X850" s="9"/>
      <c r="Y850" s="9"/>
    </row>
    <row r="851" spans="1:25" ht="15.75" customHeight="1" x14ac:dyDescent="0.35">
      <c r="A851" s="6"/>
      <c r="E851" s="9"/>
      <c r="F851" s="9"/>
      <c r="G851" s="9"/>
      <c r="M851" s="26"/>
      <c r="N851" s="26"/>
      <c r="O851" s="9"/>
      <c r="P851" s="9"/>
      <c r="W851" s="9"/>
      <c r="X851" s="9"/>
      <c r="Y851" s="9"/>
    </row>
    <row r="852" spans="1:25" ht="15.75" customHeight="1" x14ac:dyDescent="0.35">
      <c r="A852" s="6"/>
      <c r="E852" s="9"/>
      <c r="F852" s="9"/>
      <c r="G852" s="9"/>
      <c r="M852" s="26"/>
      <c r="N852" s="26"/>
      <c r="O852" s="9"/>
      <c r="P852" s="9"/>
      <c r="W852" s="9"/>
      <c r="X852" s="9"/>
      <c r="Y852" s="9"/>
    </row>
    <row r="853" spans="1:25" ht="15.75" customHeight="1" x14ac:dyDescent="0.35">
      <c r="A853" s="6"/>
      <c r="E853" s="9"/>
      <c r="F853" s="9"/>
      <c r="G853" s="9"/>
      <c r="M853" s="26"/>
      <c r="N853" s="26"/>
      <c r="O853" s="9"/>
      <c r="P853" s="9"/>
      <c r="W853" s="9"/>
      <c r="X853" s="9"/>
      <c r="Y853" s="9"/>
    </row>
    <row r="854" spans="1:25" ht="15.75" customHeight="1" x14ac:dyDescent="0.35">
      <c r="A854" s="6"/>
      <c r="E854" s="9"/>
      <c r="F854" s="9"/>
      <c r="G854" s="9"/>
      <c r="M854" s="26"/>
      <c r="N854" s="26"/>
      <c r="O854" s="9"/>
      <c r="P854" s="9"/>
      <c r="W854" s="9"/>
      <c r="X854" s="9"/>
      <c r="Y854" s="9"/>
    </row>
    <row r="855" spans="1:25" ht="15.75" customHeight="1" x14ac:dyDescent="0.35">
      <c r="A855" s="6"/>
      <c r="E855" s="9"/>
      <c r="F855" s="9"/>
      <c r="G855" s="9"/>
      <c r="M855" s="26"/>
      <c r="N855" s="26"/>
      <c r="O855" s="9"/>
      <c r="P855" s="9"/>
      <c r="W855" s="9"/>
      <c r="X855" s="9"/>
      <c r="Y855" s="9"/>
    </row>
    <row r="856" spans="1:25" ht="15.75" customHeight="1" x14ac:dyDescent="0.35">
      <c r="A856" s="6"/>
      <c r="E856" s="9"/>
      <c r="F856" s="9"/>
      <c r="G856" s="9"/>
      <c r="M856" s="26"/>
      <c r="N856" s="26"/>
      <c r="O856" s="9"/>
      <c r="P856" s="9"/>
      <c r="W856" s="9"/>
      <c r="X856" s="9"/>
      <c r="Y856" s="9"/>
    </row>
    <row r="857" spans="1:25" ht="15.75" customHeight="1" x14ac:dyDescent="0.35">
      <c r="A857" s="6"/>
      <c r="E857" s="9"/>
      <c r="F857" s="9"/>
      <c r="G857" s="9"/>
      <c r="M857" s="26"/>
      <c r="N857" s="26"/>
      <c r="O857" s="9"/>
      <c r="P857" s="9"/>
      <c r="W857" s="9"/>
      <c r="X857" s="9"/>
      <c r="Y857" s="9"/>
    </row>
    <row r="858" spans="1:25" ht="15.75" customHeight="1" x14ac:dyDescent="0.35">
      <c r="A858" s="6"/>
      <c r="E858" s="9"/>
      <c r="F858" s="9"/>
      <c r="G858" s="9"/>
      <c r="M858" s="26"/>
      <c r="N858" s="26"/>
      <c r="O858" s="9"/>
      <c r="P858" s="9"/>
      <c r="W858" s="9"/>
      <c r="X858" s="9"/>
      <c r="Y858" s="9"/>
    </row>
    <row r="859" spans="1:25" ht="15.75" customHeight="1" x14ac:dyDescent="0.35">
      <c r="A859" s="6"/>
      <c r="E859" s="9"/>
      <c r="F859" s="9"/>
      <c r="G859" s="9"/>
      <c r="M859" s="26"/>
      <c r="N859" s="26"/>
      <c r="O859" s="9"/>
      <c r="P859" s="9"/>
      <c r="W859" s="9"/>
      <c r="X859" s="9"/>
      <c r="Y859" s="9"/>
    </row>
    <row r="860" spans="1:25" ht="15.75" customHeight="1" x14ac:dyDescent="0.35">
      <c r="A860" s="6"/>
      <c r="E860" s="9"/>
      <c r="F860" s="9"/>
      <c r="G860" s="9"/>
      <c r="M860" s="26"/>
      <c r="N860" s="26"/>
      <c r="O860" s="9"/>
      <c r="P860" s="9"/>
      <c r="W860" s="9"/>
      <c r="X860" s="9"/>
      <c r="Y860" s="9"/>
    </row>
    <row r="861" spans="1:25" ht="15.75" customHeight="1" x14ac:dyDescent="0.35">
      <c r="A861" s="6"/>
      <c r="E861" s="9"/>
      <c r="F861" s="9"/>
      <c r="G861" s="9"/>
      <c r="M861" s="26"/>
      <c r="N861" s="26"/>
      <c r="O861" s="9"/>
      <c r="P861" s="9"/>
      <c r="W861" s="9"/>
      <c r="X861" s="9"/>
      <c r="Y861" s="9"/>
    </row>
    <row r="862" spans="1:25" ht="15.75" customHeight="1" x14ac:dyDescent="0.35">
      <c r="A862" s="6"/>
      <c r="E862" s="9"/>
      <c r="F862" s="9"/>
      <c r="G862" s="9"/>
      <c r="M862" s="26"/>
      <c r="N862" s="26"/>
      <c r="O862" s="9"/>
      <c r="P862" s="9"/>
      <c r="W862" s="9"/>
      <c r="X862" s="9"/>
      <c r="Y862" s="9"/>
    </row>
    <row r="863" spans="1:25" ht="15.75" customHeight="1" x14ac:dyDescent="0.35">
      <c r="A863" s="6"/>
      <c r="E863" s="9"/>
      <c r="F863" s="9"/>
      <c r="G863" s="9"/>
      <c r="M863" s="26"/>
      <c r="N863" s="26"/>
      <c r="O863" s="9"/>
      <c r="P863" s="9"/>
      <c r="W863" s="9"/>
      <c r="X863" s="9"/>
      <c r="Y863" s="9"/>
    </row>
    <row r="864" spans="1:25" ht="15.75" customHeight="1" x14ac:dyDescent="0.35">
      <c r="A864" s="6"/>
      <c r="E864" s="9"/>
      <c r="F864" s="9"/>
      <c r="G864" s="9"/>
      <c r="M864" s="26"/>
      <c r="N864" s="26"/>
      <c r="O864" s="9"/>
      <c r="P864" s="9"/>
      <c r="W864" s="9"/>
      <c r="X864" s="9"/>
      <c r="Y864" s="9"/>
    </row>
    <row r="865" spans="1:25" ht="15.75" customHeight="1" x14ac:dyDescent="0.35">
      <c r="A865" s="6"/>
      <c r="E865" s="9"/>
      <c r="F865" s="9"/>
      <c r="G865" s="9"/>
      <c r="M865" s="26"/>
      <c r="N865" s="26"/>
      <c r="O865" s="9"/>
      <c r="P865" s="9"/>
      <c r="W865" s="9"/>
      <c r="X865" s="9"/>
      <c r="Y865" s="9"/>
    </row>
    <row r="866" spans="1:25" ht="15.75" customHeight="1" x14ac:dyDescent="0.35">
      <c r="A866" s="6"/>
      <c r="E866" s="9"/>
      <c r="F866" s="9"/>
      <c r="G866" s="9"/>
      <c r="M866" s="26"/>
      <c r="N866" s="26"/>
      <c r="O866" s="9"/>
      <c r="P866" s="9"/>
      <c r="W866" s="9"/>
      <c r="X866" s="9"/>
      <c r="Y866" s="9"/>
    </row>
    <row r="867" spans="1:25" ht="15.75" customHeight="1" x14ac:dyDescent="0.35">
      <c r="A867" s="6"/>
      <c r="E867" s="9"/>
      <c r="F867" s="9"/>
      <c r="G867" s="9"/>
      <c r="M867" s="26"/>
      <c r="N867" s="26"/>
      <c r="O867" s="9"/>
      <c r="P867" s="9"/>
      <c r="W867" s="9"/>
      <c r="X867" s="9"/>
      <c r="Y867" s="9"/>
    </row>
    <row r="868" spans="1:25" ht="15.75" customHeight="1" x14ac:dyDescent="0.35">
      <c r="A868" s="6"/>
      <c r="E868" s="9"/>
      <c r="F868" s="9"/>
      <c r="G868" s="9"/>
      <c r="M868" s="26"/>
      <c r="N868" s="26"/>
      <c r="O868" s="9"/>
      <c r="P868" s="9"/>
      <c r="W868" s="9"/>
      <c r="X868" s="9"/>
      <c r="Y868" s="9"/>
    </row>
    <row r="869" spans="1:25" ht="15.75" customHeight="1" x14ac:dyDescent="0.35">
      <c r="A869" s="6"/>
      <c r="E869" s="9"/>
      <c r="F869" s="9"/>
      <c r="G869" s="9"/>
      <c r="M869" s="26"/>
      <c r="N869" s="26"/>
      <c r="O869" s="9"/>
      <c r="P869" s="9"/>
      <c r="W869" s="9"/>
      <c r="X869" s="9"/>
      <c r="Y869" s="9"/>
    </row>
    <row r="870" spans="1:25" ht="15.75" customHeight="1" x14ac:dyDescent="0.35">
      <c r="A870" s="6"/>
      <c r="E870" s="9"/>
      <c r="F870" s="9"/>
      <c r="G870" s="9"/>
      <c r="M870" s="26"/>
      <c r="N870" s="26"/>
      <c r="O870" s="9"/>
      <c r="P870" s="9"/>
      <c r="W870" s="9"/>
      <c r="X870" s="9"/>
      <c r="Y870" s="9"/>
    </row>
    <row r="871" spans="1:25" ht="15.75" customHeight="1" x14ac:dyDescent="0.35">
      <c r="A871" s="6"/>
      <c r="E871" s="9"/>
      <c r="F871" s="9"/>
      <c r="G871" s="9"/>
      <c r="M871" s="26"/>
      <c r="N871" s="26"/>
      <c r="O871" s="9"/>
      <c r="P871" s="9"/>
      <c r="W871" s="9"/>
      <c r="X871" s="9"/>
      <c r="Y871" s="9"/>
    </row>
    <row r="872" spans="1:25" ht="15.75" customHeight="1" x14ac:dyDescent="0.35">
      <c r="A872" s="6"/>
      <c r="E872" s="9"/>
      <c r="F872" s="9"/>
      <c r="G872" s="9"/>
      <c r="M872" s="26"/>
      <c r="N872" s="26"/>
      <c r="O872" s="9"/>
      <c r="P872" s="9"/>
      <c r="W872" s="9"/>
      <c r="X872" s="9"/>
      <c r="Y872" s="9"/>
    </row>
    <row r="873" spans="1:25" ht="15.75" customHeight="1" x14ac:dyDescent="0.35">
      <c r="A873" s="6"/>
      <c r="E873" s="9"/>
      <c r="F873" s="9"/>
      <c r="G873" s="9"/>
      <c r="M873" s="26"/>
      <c r="N873" s="26"/>
      <c r="O873" s="9"/>
      <c r="P873" s="9"/>
      <c r="W873" s="9"/>
      <c r="X873" s="9"/>
      <c r="Y873" s="9"/>
    </row>
    <row r="874" spans="1:25" ht="15.75" customHeight="1" x14ac:dyDescent="0.35">
      <c r="A874" s="6"/>
      <c r="E874" s="9"/>
      <c r="F874" s="9"/>
      <c r="G874" s="9"/>
      <c r="M874" s="26"/>
      <c r="N874" s="26"/>
      <c r="O874" s="9"/>
      <c r="P874" s="9"/>
      <c r="W874" s="9"/>
      <c r="X874" s="9"/>
      <c r="Y874" s="9"/>
    </row>
    <row r="875" spans="1:25" ht="15.75" customHeight="1" x14ac:dyDescent="0.35">
      <c r="A875" s="6"/>
      <c r="E875" s="9"/>
      <c r="F875" s="9"/>
      <c r="G875" s="9"/>
      <c r="M875" s="26"/>
      <c r="N875" s="26"/>
      <c r="O875" s="9"/>
      <c r="P875" s="9"/>
      <c r="W875" s="9"/>
      <c r="X875" s="9"/>
      <c r="Y875" s="9"/>
    </row>
    <row r="876" spans="1:25" ht="15.75" customHeight="1" x14ac:dyDescent="0.35">
      <c r="A876" s="6"/>
      <c r="E876" s="9"/>
      <c r="F876" s="9"/>
      <c r="G876" s="9"/>
      <c r="M876" s="26"/>
      <c r="N876" s="26"/>
      <c r="O876" s="9"/>
      <c r="P876" s="9"/>
      <c r="W876" s="9"/>
      <c r="X876" s="9"/>
      <c r="Y876" s="9"/>
    </row>
    <row r="877" spans="1:25" ht="15.75" customHeight="1" x14ac:dyDescent="0.35">
      <c r="A877" s="6"/>
      <c r="E877" s="9"/>
      <c r="F877" s="9"/>
      <c r="G877" s="9"/>
      <c r="M877" s="26"/>
      <c r="N877" s="26"/>
      <c r="O877" s="9"/>
      <c r="P877" s="9"/>
      <c r="W877" s="9"/>
      <c r="X877" s="9"/>
      <c r="Y877" s="9"/>
    </row>
    <row r="878" spans="1:25" ht="15.75" customHeight="1" x14ac:dyDescent="0.35">
      <c r="A878" s="6"/>
      <c r="E878" s="9"/>
      <c r="F878" s="9"/>
      <c r="G878" s="9"/>
      <c r="M878" s="26"/>
      <c r="N878" s="26"/>
      <c r="O878" s="9"/>
      <c r="P878" s="9"/>
      <c r="W878" s="9"/>
      <c r="X878" s="9"/>
      <c r="Y878" s="9"/>
    </row>
    <row r="879" spans="1:25" ht="15.75" customHeight="1" x14ac:dyDescent="0.35">
      <c r="A879" s="6"/>
      <c r="E879" s="9"/>
      <c r="F879" s="9"/>
      <c r="G879" s="9"/>
      <c r="M879" s="26"/>
      <c r="N879" s="26"/>
      <c r="O879" s="9"/>
      <c r="P879" s="9"/>
      <c r="W879" s="9"/>
      <c r="X879" s="9"/>
      <c r="Y879" s="9"/>
    </row>
    <row r="880" spans="1:25" ht="15.75" customHeight="1" x14ac:dyDescent="0.35">
      <c r="A880" s="6"/>
      <c r="E880" s="9"/>
      <c r="F880" s="9"/>
      <c r="G880" s="9"/>
      <c r="M880" s="26"/>
      <c r="N880" s="26"/>
      <c r="O880" s="9"/>
      <c r="P880" s="9"/>
      <c r="W880" s="9"/>
      <c r="X880" s="9"/>
      <c r="Y880" s="9"/>
    </row>
    <row r="881" spans="1:25" ht="15.75" customHeight="1" x14ac:dyDescent="0.35">
      <c r="A881" s="6"/>
      <c r="E881" s="9"/>
      <c r="F881" s="9"/>
      <c r="G881" s="9"/>
      <c r="M881" s="26"/>
      <c r="N881" s="26"/>
      <c r="O881" s="9"/>
      <c r="P881" s="9"/>
      <c r="W881" s="9"/>
      <c r="X881" s="9"/>
      <c r="Y881" s="9"/>
    </row>
    <row r="882" spans="1:25" ht="15.75" customHeight="1" x14ac:dyDescent="0.35">
      <c r="A882" s="6"/>
      <c r="E882" s="9"/>
      <c r="F882" s="9"/>
      <c r="G882" s="9"/>
      <c r="M882" s="26"/>
      <c r="N882" s="26"/>
      <c r="O882" s="9"/>
      <c r="P882" s="9"/>
      <c r="W882" s="9"/>
      <c r="X882" s="9"/>
      <c r="Y882" s="9"/>
    </row>
    <row r="883" spans="1:25" ht="15.75" customHeight="1" x14ac:dyDescent="0.35">
      <c r="A883" s="6"/>
      <c r="E883" s="9"/>
      <c r="F883" s="9"/>
      <c r="G883" s="9"/>
      <c r="M883" s="26"/>
      <c r="N883" s="26"/>
      <c r="O883" s="9"/>
      <c r="P883" s="9"/>
      <c r="W883" s="9"/>
      <c r="X883" s="9"/>
      <c r="Y883" s="9"/>
    </row>
    <row r="884" spans="1:25" ht="15.75" customHeight="1" x14ac:dyDescent="0.35">
      <c r="A884" s="6"/>
      <c r="E884" s="9"/>
      <c r="F884" s="9"/>
      <c r="G884" s="9"/>
      <c r="M884" s="26"/>
      <c r="N884" s="26"/>
      <c r="O884" s="9"/>
      <c r="P884" s="9"/>
      <c r="W884" s="9"/>
      <c r="X884" s="9"/>
      <c r="Y884" s="9"/>
    </row>
    <row r="885" spans="1:25" ht="15.75" customHeight="1" x14ac:dyDescent="0.35">
      <c r="A885" s="6"/>
      <c r="E885" s="9"/>
      <c r="F885" s="9"/>
      <c r="G885" s="9"/>
      <c r="M885" s="26"/>
      <c r="N885" s="26"/>
      <c r="O885" s="9"/>
      <c r="P885" s="9"/>
      <c r="W885" s="9"/>
      <c r="X885" s="9"/>
      <c r="Y885" s="9"/>
    </row>
    <row r="886" spans="1:25" ht="15.75" customHeight="1" x14ac:dyDescent="0.35">
      <c r="A886" s="6"/>
      <c r="E886" s="9"/>
      <c r="F886" s="9"/>
      <c r="G886" s="9"/>
      <c r="M886" s="26"/>
      <c r="N886" s="26"/>
      <c r="O886" s="9"/>
      <c r="P886" s="9"/>
      <c r="W886" s="9"/>
      <c r="X886" s="9"/>
      <c r="Y886" s="9"/>
    </row>
    <row r="887" spans="1:25" ht="15.75" customHeight="1" x14ac:dyDescent="0.35">
      <c r="A887" s="6"/>
      <c r="E887" s="9"/>
      <c r="F887" s="9"/>
      <c r="G887" s="9"/>
      <c r="M887" s="26"/>
      <c r="N887" s="26"/>
      <c r="O887" s="9"/>
      <c r="P887" s="9"/>
      <c r="W887" s="9"/>
      <c r="X887" s="9"/>
      <c r="Y887" s="9"/>
    </row>
    <row r="888" spans="1:25" ht="15.75" customHeight="1" x14ac:dyDescent="0.35">
      <c r="A888" s="6"/>
      <c r="E888" s="9"/>
      <c r="F888" s="9"/>
      <c r="G888" s="9"/>
      <c r="M888" s="26"/>
      <c r="N888" s="26"/>
      <c r="O888" s="9"/>
      <c r="P888" s="9"/>
      <c r="W888" s="9"/>
      <c r="X888" s="9"/>
      <c r="Y888" s="9"/>
    </row>
    <row r="889" spans="1:25" ht="15.75" customHeight="1" x14ac:dyDescent="0.35">
      <c r="A889" s="6"/>
      <c r="E889" s="9"/>
      <c r="F889" s="9"/>
      <c r="G889" s="9"/>
      <c r="M889" s="26"/>
      <c r="N889" s="26"/>
      <c r="O889" s="9"/>
      <c r="P889" s="9"/>
      <c r="W889" s="9"/>
      <c r="X889" s="9"/>
      <c r="Y889" s="9"/>
    </row>
    <row r="890" spans="1:25" ht="15.75" customHeight="1" x14ac:dyDescent="0.35">
      <c r="A890" s="6"/>
      <c r="E890" s="9"/>
      <c r="F890" s="9"/>
      <c r="G890" s="9"/>
      <c r="M890" s="26"/>
      <c r="N890" s="26"/>
      <c r="O890" s="9"/>
      <c r="P890" s="9"/>
      <c r="W890" s="9"/>
      <c r="X890" s="9"/>
      <c r="Y890" s="9"/>
    </row>
    <row r="891" spans="1:25" ht="15.75" customHeight="1" x14ac:dyDescent="0.35">
      <c r="A891" s="6"/>
      <c r="E891" s="9"/>
      <c r="F891" s="9"/>
      <c r="G891" s="9"/>
      <c r="M891" s="26"/>
      <c r="N891" s="26"/>
      <c r="O891" s="9"/>
      <c r="P891" s="9"/>
      <c r="W891" s="9"/>
      <c r="X891" s="9"/>
      <c r="Y891" s="9"/>
    </row>
    <row r="892" spans="1:25" ht="15.75" customHeight="1" x14ac:dyDescent="0.35">
      <c r="A892" s="6"/>
      <c r="E892" s="9"/>
      <c r="F892" s="9"/>
      <c r="G892" s="9"/>
      <c r="M892" s="26"/>
      <c r="N892" s="26"/>
      <c r="O892" s="9"/>
      <c r="P892" s="9"/>
      <c r="W892" s="9"/>
      <c r="X892" s="9"/>
      <c r="Y892" s="9"/>
    </row>
    <row r="893" spans="1:25" ht="15.75" customHeight="1" x14ac:dyDescent="0.35">
      <c r="A893" s="6"/>
      <c r="E893" s="9"/>
      <c r="F893" s="9"/>
      <c r="G893" s="9"/>
      <c r="M893" s="26"/>
      <c r="N893" s="26"/>
      <c r="O893" s="9"/>
      <c r="P893" s="9"/>
      <c r="W893" s="9"/>
      <c r="X893" s="9"/>
      <c r="Y893" s="9"/>
    </row>
    <row r="894" spans="1:25" ht="15.75" customHeight="1" x14ac:dyDescent="0.35">
      <c r="A894" s="6"/>
      <c r="E894" s="9"/>
      <c r="F894" s="9"/>
      <c r="G894" s="9"/>
      <c r="M894" s="26"/>
      <c r="N894" s="26"/>
      <c r="O894" s="9"/>
      <c r="P894" s="9"/>
      <c r="W894" s="9"/>
      <c r="X894" s="9"/>
      <c r="Y894" s="9"/>
    </row>
    <row r="895" spans="1:25" ht="15.75" customHeight="1" x14ac:dyDescent="0.35">
      <c r="A895" s="6"/>
      <c r="E895" s="9"/>
      <c r="F895" s="9"/>
      <c r="G895" s="9"/>
      <c r="M895" s="26"/>
      <c r="N895" s="26"/>
      <c r="O895" s="9"/>
      <c r="P895" s="9"/>
      <c r="W895" s="9"/>
      <c r="X895" s="9"/>
      <c r="Y895" s="9"/>
    </row>
    <row r="896" spans="1:25" ht="15.75" customHeight="1" x14ac:dyDescent="0.35">
      <c r="A896" s="6"/>
      <c r="E896" s="9"/>
      <c r="F896" s="9"/>
      <c r="G896" s="9"/>
      <c r="M896" s="26"/>
      <c r="N896" s="26"/>
      <c r="O896" s="9"/>
      <c r="P896" s="9"/>
      <c r="W896" s="9"/>
      <c r="X896" s="9"/>
      <c r="Y896" s="9"/>
    </row>
    <row r="897" spans="1:25" ht="15.75" customHeight="1" x14ac:dyDescent="0.35">
      <c r="A897" s="6"/>
      <c r="E897" s="9"/>
      <c r="F897" s="9"/>
      <c r="G897" s="9"/>
      <c r="M897" s="26"/>
      <c r="N897" s="26"/>
      <c r="O897" s="9"/>
      <c r="P897" s="9"/>
      <c r="W897" s="9"/>
      <c r="X897" s="9"/>
      <c r="Y897" s="9"/>
    </row>
    <row r="898" spans="1:25" ht="15.75" customHeight="1" x14ac:dyDescent="0.35">
      <c r="A898" s="6"/>
      <c r="E898" s="9"/>
      <c r="F898" s="9"/>
      <c r="G898" s="9"/>
      <c r="M898" s="26"/>
      <c r="N898" s="26"/>
      <c r="O898" s="9"/>
      <c r="P898" s="9"/>
      <c r="W898" s="9"/>
      <c r="X898" s="9"/>
      <c r="Y898" s="9"/>
    </row>
    <row r="899" spans="1:25" ht="15.75" customHeight="1" x14ac:dyDescent="0.35">
      <c r="A899" s="6"/>
      <c r="E899" s="9"/>
      <c r="F899" s="9"/>
      <c r="G899" s="9"/>
      <c r="M899" s="26"/>
      <c r="N899" s="26"/>
      <c r="O899" s="9"/>
      <c r="P899" s="9"/>
      <c r="W899" s="9"/>
      <c r="X899" s="9"/>
      <c r="Y899" s="9"/>
    </row>
    <row r="900" spans="1:25" ht="15.75" customHeight="1" x14ac:dyDescent="0.35">
      <c r="A900" s="6"/>
      <c r="E900" s="9"/>
      <c r="F900" s="9"/>
      <c r="G900" s="9"/>
      <c r="M900" s="26"/>
      <c r="N900" s="26"/>
      <c r="O900" s="9"/>
      <c r="P900" s="9"/>
      <c r="W900" s="9"/>
      <c r="X900" s="9"/>
      <c r="Y900" s="9"/>
    </row>
    <row r="901" spans="1:25" ht="15.75" customHeight="1" x14ac:dyDescent="0.35">
      <c r="A901" s="6"/>
      <c r="E901" s="9"/>
      <c r="F901" s="9"/>
      <c r="G901" s="9"/>
      <c r="M901" s="26"/>
      <c r="N901" s="26"/>
      <c r="O901" s="9"/>
      <c r="P901" s="9"/>
      <c r="W901" s="9"/>
      <c r="X901" s="9"/>
      <c r="Y901" s="9"/>
    </row>
    <row r="902" spans="1:25" ht="15.75" customHeight="1" x14ac:dyDescent="0.35">
      <c r="A902" s="6"/>
      <c r="E902" s="9"/>
      <c r="F902" s="9"/>
      <c r="G902" s="9"/>
      <c r="M902" s="26"/>
      <c r="N902" s="26"/>
      <c r="O902" s="9"/>
      <c r="P902" s="9"/>
      <c r="W902" s="9"/>
      <c r="X902" s="9"/>
      <c r="Y902" s="9"/>
    </row>
    <row r="903" spans="1:25" ht="15.75" customHeight="1" x14ac:dyDescent="0.35">
      <c r="A903" s="6"/>
      <c r="E903" s="9"/>
      <c r="F903" s="9"/>
      <c r="G903" s="9"/>
      <c r="M903" s="26"/>
      <c r="N903" s="26"/>
      <c r="O903" s="9"/>
      <c r="P903" s="9"/>
      <c r="W903" s="9"/>
      <c r="X903" s="9"/>
      <c r="Y903" s="9"/>
    </row>
    <row r="904" spans="1:25" ht="15.75" customHeight="1" x14ac:dyDescent="0.35">
      <c r="A904" s="6"/>
      <c r="E904" s="9"/>
      <c r="F904" s="9"/>
      <c r="G904" s="9"/>
      <c r="M904" s="26"/>
      <c r="N904" s="26"/>
      <c r="O904" s="9"/>
      <c r="P904" s="9"/>
      <c r="W904" s="9"/>
      <c r="X904" s="9"/>
      <c r="Y904" s="9"/>
    </row>
    <row r="905" spans="1:25" ht="15.75" customHeight="1" x14ac:dyDescent="0.35">
      <c r="A905" s="6"/>
      <c r="E905" s="9"/>
      <c r="F905" s="9"/>
      <c r="G905" s="9"/>
      <c r="M905" s="26"/>
      <c r="N905" s="26"/>
      <c r="O905" s="9"/>
      <c r="P905" s="9"/>
      <c r="W905" s="9"/>
      <c r="X905" s="9"/>
      <c r="Y905" s="9"/>
    </row>
    <row r="906" spans="1:25" ht="15.75" customHeight="1" x14ac:dyDescent="0.35">
      <c r="A906" s="6"/>
      <c r="E906" s="9"/>
      <c r="F906" s="9"/>
      <c r="G906" s="9"/>
      <c r="M906" s="26"/>
      <c r="N906" s="26"/>
      <c r="O906" s="9"/>
      <c r="P906" s="9"/>
      <c r="W906" s="9"/>
      <c r="X906" s="9"/>
      <c r="Y906" s="9"/>
    </row>
    <row r="907" spans="1:25" ht="15.75" customHeight="1" x14ac:dyDescent="0.35">
      <c r="A907" s="6"/>
      <c r="E907" s="9"/>
      <c r="F907" s="9"/>
      <c r="G907" s="9"/>
      <c r="M907" s="26"/>
      <c r="N907" s="26"/>
      <c r="O907" s="9"/>
      <c r="P907" s="9"/>
      <c r="W907" s="9"/>
      <c r="X907" s="9"/>
      <c r="Y907" s="9"/>
    </row>
    <row r="908" spans="1:25" ht="15.75" customHeight="1" x14ac:dyDescent="0.35">
      <c r="A908" s="6"/>
      <c r="E908" s="9"/>
      <c r="F908" s="9"/>
      <c r="G908" s="9"/>
      <c r="M908" s="26"/>
      <c r="N908" s="26"/>
      <c r="O908" s="9"/>
      <c r="P908" s="9"/>
      <c r="W908" s="9"/>
      <c r="X908" s="9"/>
      <c r="Y908" s="9"/>
    </row>
    <row r="909" spans="1:25" ht="15.75" customHeight="1" x14ac:dyDescent="0.35">
      <c r="A909" s="6"/>
      <c r="E909" s="9"/>
      <c r="F909" s="9"/>
      <c r="G909" s="9"/>
      <c r="M909" s="26"/>
      <c r="N909" s="26"/>
      <c r="O909" s="9"/>
      <c r="P909" s="9"/>
      <c r="W909" s="9"/>
      <c r="X909" s="9"/>
      <c r="Y909" s="9"/>
    </row>
    <row r="910" spans="1:25" ht="15.75" customHeight="1" x14ac:dyDescent="0.35">
      <c r="A910" s="6"/>
      <c r="E910" s="9"/>
      <c r="F910" s="9"/>
      <c r="G910" s="9"/>
      <c r="M910" s="26"/>
      <c r="N910" s="26"/>
      <c r="O910" s="9"/>
      <c r="P910" s="9"/>
      <c r="W910" s="9"/>
      <c r="X910" s="9"/>
      <c r="Y910" s="9"/>
    </row>
    <row r="911" spans="1:25" ht="15.75" customHeight="1" x14ac:dyDescent="0.35">
      <c r="A911" s="6"/>
      <c r="E911" s="9"/>
      <c r="F911" s="9"/>
      <c r="G911" s="9"/>
      <c r="M911" s="26"/>
      <c r="N911" s="26"/>
      <c r="O911" s="9"/>
      <c r="P911" s="9"/>
      <c r="W911" s="9"/>
      <c r="X911" s="9"/>
      <c r="Y911" s="9"/>
    </row>
    <row r="912" spans="1:25" ht="15.75" customHeight="1" x14ac:dyDescent="0.35">
      <c r="A912" s="6"/>
      <c r="E912" s="9"/>
      <c r="F912" s="9"/>
      <c r="G912" s="9"/>
      <c r="M912" s="26"/>
      <c r="N912" s="26"/>
      <c r="O912" s="9"/>
      <c r="P912" s="9"/>
      <c r="W912" s="9"/>
      <c r="X912" s="9"/>
      <c r="Y912" s="9"/>
    </row>
    <row r="913" spans="1:25" ht="15.75" customHeight="1" x14ac:dyDescent="0.35">
      <c r="A913" s="6"/>
      <c r="E913" s="9"/>
      <c r="F913" s="9"/>
      <c r="G913" s="9"/>
      <c r="M913" s="26"/>
      <c r="N913" s="26"/>
      <c r="O913" s="9"/>
      <c r="P913" s="9"/>
      <c r="W913" s="9"/>
      <c r="X913" s="9"/>
      <c r="Y913" s="9"/>
    </row>
    <row r="914" spans="1:25" ht="15.75" customHeight="1" x14ac:dyDescent="0.35">
      <c r="A914" s="6"/>
      <c r="E914" s="9"/>
      <c r="F914" s="9"/>
      <c r="G914" s="9"/>
      <c r="M914" s="26"/>
      <c r="N914" s="26"/>
      <c r="O914" s="9"/>
      <c r="P914" s="9"/>
      <c r="W914" s="9"/>
      <c r="X914" s="9"/>
      <c r="Y914" s="9"/>
    </row>
    <row r="915" spans="1:25" ht="15.75" customHeight="1" x14ac:dyDescent="0.35">
      <c r="A915" s="6"/>
      <c r="E915" s="9"/>
      <c r="F915" s="9"/>
      <c r="G915" s="9"/>
      <c r="M915" s="26"/>
      <c r="N915" s="26"/>
      <c r="O915" s="9"/>
      <c r="P915" s="9"/>
      <c r="W915" s="9"/>
      <c r="X915" s="9"/>
      <c r="Y915" s="9"/>
    </row>
    <row r="916" spans="1:25" ht="15.75" customHeight="1" x14ac:dyDescent="0.35">
      <c r="A916" s="6"/>
      <c r="E916" s="9"/>
      <c r="F916" s="9"/>
      <c r="G916" s="9"/>
      <c r="M916" s="26"/>
      <c r="N916" s="26"/>
      <c r="O916" s="9"/>
      <c r="P916" s="9"/>
      <c r="W916" s="9"/>
      <c r="X916" s="9"/>
      <c r="Y916" s="9"/>
    </row>
    <row r="917" spans="1:25" ht="15.75" customHeight="1" x14ac:dyDescent="0.35">
      <c r="A917" s="6"/>
      <c r="E917" s="9"/>
      <c r="F917" s="9"/>
      <c r="G917" s="9"/>
      <c r="M917" s="26"/>
      <c r="N917" s="26"/>
      <c r="O917" s="9"/>
      <c r="P917" s="9"/>
      <c r="W917" s="9"/>
      <c r="X917" s="9"/>
      <c r="Y917" s="9"/>
    </row>
    <row r="918" spans="1:25" ht="15.75" customHeight="1" x14ac:dyDescent="0.35">
      <c r="A918" s="6"/>
      <c r="E918" s="9"/>
      <c r="F918" s="9"/>
      <c r="G918" s="9"/>
      <c r="M918" s="26"/>
      <c r="N918" s="26"/>
      <c r="O918" s="9"/>
      <c r="P918" s="9"/>
      <c r="W918" s="9"/>
      <c r="X918" s="9"/>
      <c r="Y918" s="9"/>
    </row>
    <row r="919" spans="1:25" ht="15.75" customHeight="1" x14ac:dyDescent="0.35">
      <c r="A919" s="6"/>
      <c r="E919" s="9"/>
      <c r="F919" s="9"/>
      <c r="G919" s="9"/>
      <c r="M919" s="26"/>
      <c r="N919" s="26"/>
      <c r="O919" s="9"/>
      <c r="P919" s="9"/>
      <c r="W919" s="9"/>
      <c r="X919" s="9"/>
      <c r="Y919" s="9"/>
    </row>
    <row r="920" spans="1:25" ht="15.75" customHeight="1" x14ac:dyDescent="0.35">
      <c r="A920" s="6"/>
      <c r="E920" s="9"/>
      <c r="F920" s="9"/>
      <c r="G920" s="9"/>
      <c r="M920" s="26"/>
      <c r="N920" s="26"/>
      <c r="O920" s="9"/>
      <c r="P920" s="9"/>
      <c r="W920" s="9"/>
      <c r="X920" s="9"/>
      <c r="Y920" s="9"/>
    </row>
    <row r="921" spans="1:25" ht="15.75" customHeight="1" x14ac:dyDescent="0.35">
      <c r="A921" s="6"/>
      <c r="E921" s="9"/>
      <c r="F921" s="9"/>
      <c r="G921" s="9"/>
      <c r="M921" s="26"/>
      <c r="N921" s="26"/>
      <c r="O921" s="9"/>
      <c r="P921" s="9"/>
      <c r="W921" s="9"/>
      <c r="X921" s="9"/>
      <c r="Y921" s="9"/>
    </row>
    <row r="922" spans="1:25" ht="15.75" customHeight="1" x14ac:dyDescent="0.35">
      <c r="A922" s="6"/>
      <c r="E922" s="9"/>
      <c r="F922" s="9"/>
      <c r="G922" s="9"/>
      <c r="M922" s="26"/>
      <c r="N922" s="26"/>
      <c r="O922" s="9"/>
      <c r="P922" s="9"/>
      <c r="W922" s="9"/>
      <c r="X922" s="9"/>
      <c r="Y922" s="9"/>
    </row>
    <row r="923" spans="1:25" ht="15.75" customHeight="1" x14ac:dyDescent="0.35">
      <c r="A923" s="6"/>
      <c r="E923" s="9"/>
      <c r="F923" s="9"/>
      <c r="G923" s="9"/>
      <c r="M923" s="26"/>
      <c r="N923" s="26"/>
      <c r="O923" s="9"/>
      <c r="P923" s="9"/>
      <c r="W923" s="9"/>
      <c r="X923" s="9"/>
      <c r="Y923" s="9"/>
    </row>
    <row r="924" spans="1:25" ht="15.75" customHeight="1" x14ac:dyDescent="0.35">
      <c r="A924" s="6"/>
      <c r="E924" s="9"/>
      <c r="F924" s="9"/>
      <c r="G924" s="9"/>
      <c r="M924" s="26"/>
      <c r="N924" s="26"/>
      <c r="O924" s="9"/>
      <c r="P924" s="9"/>
      <c r="W924" s="9"/>
      <c r="X924" s="9"/>
      <c r="Y924" s="9"/>
    </row>
    <row r="925" spans="1:25" ht="15.75" customHeight="1" x14ac:dyDescent="0.35">
      <c r="A925" s="6"/>
      <c r="E925" s="9"/>
      <c r="F925" s="9"/>
      <c r="G925" s="9"/>
      <c r="M925" s="26"/>
      <c r="N925" s="26"/>
      <c r="O925" s="9"/>
      <c r="P925" s="9"/>
      <c r="W925" s="9"/>
      <c r="X925" s="9"/>
      <c r="Y925" s="9"/>
    </row>
    <row r="926" spans="1:25" ht="15.75" customHeight="1" x14ac:dyDescent="0.35">
      <c r="A926" s="6"/>
      <c r="E926" s="9"/>
      <c r="F926" s="9"/>
      <c r="G926" s="9"/>
      <c r="M926" s="26"/>
      <c r="N926" s="26"/>
      <c r="O926" s="9"/>
      <c r="P926" s="9"/>
      <c r="W926" s="9"/>
      <c r="X926" s="9"/>
      <c r="Y926" s="9"/>
    </row>
    <row r="927" spans="1:25" ht="15.75" customHeight="1" x14ac:dyDescent="0.35">
      <c r="A927" s="6"/>
      <c r="E927" s="9"/>
      <c r="F927" s="9"/>
      <c r="G927" s="9"/>
      <c r="M927" s="26"/>
      <c r="N927" s="26"/>
      <c r="O927" s="9"/>
      <c r="P927" s="9"/>
      <c r="W927" s="9"/>
      <c r="X927" s="9"/>
      <c r="Y927" s="9"/>
    </row>
    <row r="928" spans="1:25" ht="15.75" customHeight="1" x14ac:dyDescent="0.35">
      <c r="A928" s="6"/>
      <c r="E928" s="9"/>
      <c r="F928" s="9"/>
      <c r="G928" s="9"/>
      <c r="M928" s="26"/>
      <c r="N928" s="26"/>
      <c r="O928" s="9"/>
      <c r="P928" s="9"/>
      <c r="W928" s="9"/>
      <c r="X928" s="9"/>
      <c r="Y928" s="9"/>
    </row>
    <row r="929" spans="1:25" ht="15.75" customHeight="1" x14ac:dyDescent="0.35">
      <c r="A929" s="6"/>
      <c r="E929" s="9"/>
      <c r="F929" s="9"/>
      <c r="G929" s="9"/>
      <c r="M929" s="26"/>
      <c r="N929" s="26"/>
      <c r="O929" s="9"/>
      <c r="P929" s="9"/>
      <c r="W929" s="9"/>
      <c r="X929" s="9"/>
      <c r="Y929" s="9"/>
    </row>
    <row r="930" spans="1:25" ht="15.75" customHeight="1" x14ac:dyDescent="0.35">
      <c r="A930" s="6"/>
      <c r="E930" s="9"/>
      <c r="F930" s="9"/>
      <c r="G930" s="9"/>
      <c r="M930" s="26"/>
      <c r="N930" s="26"/>
      <c r="O930" s="9"/>
      <c r="P930" s="9"/>
      <c r="W930" s="9"/>
      <c r="X930" s="9"/>
      <c r="Y930" s="9"/>
    </row>
    <row r="931" spans="1:25" ht="15.75" customHeight="1" x14ac:dyDescent="0.35">
      <c r="A931" s="6"/>
      <c r="E931" s="9"/>
      <c r="F931" s="9"/>
      <c r="G931" s="9"/>
      <c r="M931" s="26"/>
      <c r="N931" s="26"/>
      <c r="O931" s="9"/>
      <c r="P931" s="9"/>
      <c r="W931" s="9"/>
      <c r="X931" s="9"/>
      <c r="Y931" s="9"/>
    </row>
    <row r="932" spans="1:25" ht="15.75" customHeight="1" x14ac:dyDescent="0.35">
      <c r="A932" s="6"/>
      <c r="E932" s="9"/>
      <c r="F932" s="9"/>
      <c r="G932" s="9"/>
      <c r="M932" s="26"/>
      <c r="N932" s="26"/>
      <c r="O932" s="9"/>
      <c r="P932" s="9"/>
      <c r="W932" s="9"/>
      <c r="X932" s="9"/>
      <c r="Y932" s="9"/>
    </row>
    <row r="933" spans="1:25" ht="15.75" customHeight="1" x14ac:dyDescent="0.35">
      <c r="A933" s="6"/>
      <c r="E933" s="9"/>
      <c r="F933" s="9"/>
      <c r="G933" s="9"/>
      <c r="M933" s="26"/>
      <c r="N933" s="26"/>
      <c r="O933" s="9"/>
      <c r="P933" s="9"/>
      <c r="W933" s="9"/>
      <c r="X933" s="9"/>
      <c r="Y933" s="9"/>
    </row>
    <row r="934" spans="1:25" ht="15.75" customHeight="1" x14ac:dyDescent="0.35">
      <c r="A934" s="6"/>
      <c r="E934" s="9"/>
      <c r="F934" s="9"/>
      <c r="G934" s="9"/>
      <c r="M934" s="26"/>
      <c r="N934" s="26"/>
      <c r="O934" s="9"/>
      <c r="P934" s="9"/>
      <c r="W934" s="9"/>
      <c r="X934" s="9"/>
      <c r="Y934" s="9"/>
    </row>
    <row r="935" spans="1:25" ht="15.75" customHeight="1" x14ac:dyDescent="0.35">
      <c r="A935" s="6"/>
      <c r="E935" s="9"/>
      <c r="F935" s="9"/>
      <c r="G935" s="9"/>
      <c r="M935" s="26"/>
      <c r="N935" s="26"/>
      <c r="O935" s="9"/>
      <c r="P935" s="9"/>
      <c r="W935" s="9"/>
      <c r="X935" s="9"/>
      <c r="Y935" s="9"/>
    </row>
    <row r="936" spans="1:25" ht="15.75" customHeight="1" x14ac:dyDescent="0.35">
      <c r="A936" s="6"/>
      <c r="E936" s="9"/>
      <c r="F936" s="9"/>
      <c r="G936" s="9"/>
      <c r="M936" s="26"/>
      <c r="N936" s="26"/>
      <c r="O936" s="9"/>
      <c r="P936" s="9"/>
      <c r="W936" s="9"/>
      <c r="X936" s="9"/>
      <c r="Y936" s="9"/>
    </row>
    <row r="937" spans="1:25" ht="15.75" customHeight="1" x14ac:dyDescent="0.35">
      <c r="A937" s="6"/>
      <c r="E937" s="9"/>
      <c r="F937" s="9"/>
      <c r="G937" s="9"/>
      <c r="M937" s="26"/>
      <c r="N937" s="26"/>
      <c r="O937" s="9"/>
      <c r="P937" s="9"/>
      <c r="W937" s="9"/>
      <c r="X937" s="9"/>
      <c r="Y937" s="9"/>
    </row>
    <row r="938" spans="1:25" ht="15.75" customHeight="1" x14ac:dyDescent="0.35">
      <c r="A938" s="6"/>
      <c r="E938" s="9"/>
      <c r="F938" s="9"/>
      <c r="G938" s="9"/>
      <c r="M938" s="26"/>
      <c r="N938" s="26"/>
      <c r="O938" s="9"/>
      <c r="P938" s="9"/>
      <c r="W938" s="9"/>
      <c r="X938" s="9"/>
      <c r="Y938" s="9"/>
    </row>
    <row r="939" spans="1:25" ht="15.75" customHeight="1" x14ac:dyDescent="0.35">
      <c r="A939" s="6"/>
      <c r="E939" s="9"/>
      <c r="F939" s="9"/>
      <c r="G939" s="9"/>
      <c r="M939" s="26"/>
      <c r="N939" s="26"/>
      <c r="O939" s="9"/>
      <c r="P939" s="9"/>
      <c r="W939" s="9"/>
      <c r="X939" s="9"/>
      <c r="Y939" s="9"/>
    </row>
    <row r="940" spans="1:25" ht="15.75" customHeight="1" x14ac:dyDescent="0.35">
      <c r="A940" s="6"/>
      <c r="E940" s="9"/>
      <c r="F940" s="9"/>
      <c r="G940" s="9"/>
      <c r="M940" s="26"/>
      <c r="N940" s="26"/>
      <c r="O940" s="9"/>
      <c r="P940" s="9"/>
      <c r="W940" s="9"/>
      <c r="X940" s="9"/>
      <c r="Y940" s="9"/>
    </row>
    <row r="941" spans="1:25" ht="15.75" customHeight="1" x14ac:dyDescent="0.35">
      <c r="A941" s="6"/>
      <c r="E941" s="9"/>
      <c r="F941" s="9"/>
      <c r="G941" s="9"/>
      <c r="M941" s="26"/>
      <c r="N941" s="26"/>
      <c r="O941" s="9"/>
      <c r="P941" s="9"/>
      <c r="W941" s="9"/>
      <c r="X941" s="9"/>
      <c r="Y941" s="9"/>
    </row>
    <row r="942" spans="1:25" ht="15.75" customHeight="1" x14ac:dyDescent="0.35">
      <c r="A942" s="6"/>
      <c r="E942" s="9"/>
      <c r="F942" s="9"/>
      <c r="G942" s="9"/>
      <c r="M942" s="26"/>
      <c r="N942" s="26"/>
      <c r="O942" s="9"/>
      <c r="P942" s="9"/>
      <c r="W942" s="9"/>
      <c r="X942" s="9"/>
      <c r="Y942" s="9"/>
    </row>
    <row r="943" spans="1:25" ht="15.75" customHeight="1" x14ac:dyDescent="0.35">
      <c r="A943" s="6"/>
      <c r="E943" s="9"/>
      <c r="F943" s="9"/>
      <c r="G943" s="9"/>
      <c r="M943" s="26"/>
      <c r="N943" s="26"/>
      <c r="O943" s="9"/>
      <c r="P943" s="9"/>
      <c r="W943" s="9"/>
      <c r="X943" s="9"/>
      <c r="Y943" s="9"/>
    </row>
    <row r="944" spans="1:25" ht="15.75" customHeight="1" x14ac:dyDescent="0.35">
      <c r="A944" s="6"/>
      <c r="E944" s="9"/>
      <c r="F944" s="9"/>
      <c r="G944" s="9"/>
      <c r="M944" s="26"/>
      <c r="N944" s="26"/>
      <c r="O944" s="9"/>
      <c r="P944" s="9"/>
      <c r="W944" s="9"/>
      <c r="X944" s="9"/>
      <c r="Y944" s="9"/>
    </row>
    <row r="945" spans="1:25" ht="15.75" customHeight="1" x14ac:dyDescent="0.35">
      <c r="A945" s="6"/>
      <c r="E945" s="9"/>
      <c r="F945" s="9"/>
      <c r="G945" s="9"/>
      <c r="M945" s="26"/>
      <c r="N945" s="26"/>
      <c r="O945" s="9"/>
      <c r="P945" s="9"/>
      <c r="W945" s="9"/>
      <c r="X945" s="9"/>
      <c r="Y945" s="9"/>
    </row>
    <row r="946" spans="1:25" ht="15.75" customHeight="1" x14ac:dyDescent="0.35">
      <c r="A946" s="6"/>
      <c r="E946" s="9"/>
      <c r="F946" s="9"/>
      <c r="G946" s="9"/>
      <c r="M946" s="26"/>
      <c r="N946" s="26"/>
      <c r="O946" s="9"/>
      <c r="P946" s="9"/>
      <c r="W946" s="9"/>
      <c r="X946" s="9"/>
      <c r="Y946" s="9"/>
    </row>
    <row r="947" spans="1:25" ht="15.75" customHeight="1" x14ac:dyDescent="0.35">
      <c r="A947" s="6"/>
      <c r="E947" s="9"/>
      <c r="F947" s="9"/>
      <c r="G947" s="9"/>
      <c r="M947" s="26"/>
      <c r="N947" s="26"/>
      <c r="O947" s="9"/>
      <c r="P947" s="9"/>
      <c r="W947" s="9"/>
      <c r="X947" s="9"/>
      <c r="Y947" s="9"/>
    </row>
    <row r="948" spans="1:25" ht="15.75" customHeight="1" x14ac:dyDescent="0.35">
      <c r="A948" s="6"/>
      <c r="E948" s="9"/>
      <c r="F948" s="9"/>
      <c r="G948" s="9"/>
      <c r="M948" s="26"/>
      <c r="N948" s="26"/>
      <c r="O948" s="9"/>
      <c r="P948" s="9"/>
      <c r="W948" s="9"/>
      <c r="X948" s="9"/>
      <c r="Y948" s="9"/>
    </row>
    <row r="949" spans="1:25" ht="15.75" customHeight="1" x14ac:dyDescent="0.35">
      <c r="A949" s="6"/>
      <c r="E949" s="9"/>
      <c r="F949" s="9"/>
      <c r="G949" s="9"/>
      <c r="M949" s="26"/>
      <c r="N949" s="26"/>
      <c r="O949" s="9"/>
      <c r="P949" s="9"/>
      <c r="W949" s="9"/>
      <c r="X949" s="9"/>
      <c r="Y949" s="9"/>
    </row>
    <row r="950" spans="1:25" ht="15.75" customHeight="1" x14ac:dyDescent="0.35">
      <c r="A950" s="6"/>
      <c r="E950" s="9"/>
      <c r="F950" s="9"/>
      <c r="G950" s="9"/>
      <c r="M950" s="26"/>
      <c r="N950" s="26"/>
      <c r="O950" s="9"/>
      <c r="P950" s="9"/>
      <c r="W950" s="9"/>
      <c r="X950" s="9"/>
      <c r="Y950" s="9"/>
    </row>
    <row r="951" spans="1:25" ht="15.75" customHeight="1" x14ac:dyDescent="0.35">
      <c r="A951" s="6"/>
      <c r="E951" s="9"/>
      <c r="F951" s="9"/>
      <c r="G951" s="9"/>
      <c r="M951" s="26"/>
      <c r="N951" s="26"/>
      <c r="O951" s="9"/>
      <c r="P951" s="9"/>
      <c r="W951" s="9"/>
      <c r="X951" s="9"/>
      <c r="Y951" s="9"/>
    </row>
    <row r="952" spans="1:25" ht="15.75" customHeight="1" x14ac:dyDescent="0.35">
      <c r="A952" s="6"/>
      <c r="E952" s="9"/>
      <c r="F952" s="9"/>
      <c r="G952" s="9"/>
      <c r="M952" s="26"/>
      <c r="N952" s="26"/>
      <c r="O952" s="9"/>
      <c r="P952" s="9"/>
      <c r="W952" s="9"/>
      <c r="X952" s="9"/>
      <c r="Y952" s="9"/>
    </row>
    <row r="953" spans="1:25" ht="15.75" customHeight="1" x14ac:dyDescent="0.35">
      <c r="A953" s="6"/>
      <c r="E953" s="9"/>
      <c r="F953" s="9"/>
      <c r="G953" s="9"/>
      <c r="M953" s="26"/>
      <c r="N953" s="26"/>
      <c r="O953" s="9"/>
      <c r="P953" s="9"/>
      <c r="W953" s="9"/>
      <c r="X953" s="9"/>
      <c r="Y953" s="9"/>
    </row>
    <row r="954" spans="1:25" ht="15.75" customHeight="1" x14ac:dyDescent="0.35">
      <c r="A954" s="6"/>
      <c r="E954" s="9"/>
      <c r="F954" s="9"/>
      <c r="G954" s="9"/>
      <c r="M954" s="26"/>
      <c r="N954" s="26"/>
      <c r="O954" s="9"/>
      <c r="P954" s="9"/>
      <c r="W954" s="9"/>
      <c r="X954" s="9"/>
      <c r="Y954" s="9"/>
    </row>
    <row r="955" spans="1:25" ht="15.75" customHeight="1" x14ac:dyDescent="0.35">
      <c r="A955" s="6"/>
      <c r="E955" s="9"/>
      <c r="F955" s="9"/>
      <c r="G955" s="9"/>
      <c r="M955" s="26"/>
      <c r="N955" s="26"/>
      <c r="O955" s="9"/>
      <c r="P955" s="9"/>
      <c r="W955" s="9"/>
      <c r="X955" s="9"/>
      <c r="Y955" s="9"/>
    </row>
    <row r="956" spans="1:25" ht="15.75" customHeight="1" x14ac:dyDescent="0.35">
      <c r="A956" s="6"/>
      <c r="E956" s="9"/>
      <c r="F956" s="9"/>
      <c r="G956" s="9"/>
      <c r="M956" s="26"/>
      <c r="N956" s="26"/>
      <c r="O956" s="9"/>
      <c r="P956" s="9"/>
      <c r="W956" s="9"/>
      <c r="X956" s="9"/>
      <c r="Y956" s="9"/>
    </row>
    <row r="957" spans="1:25" ht="15.75" customHeight="1" x14ac:dyDescent="0.35">
      <c r="A957" s="6"/>
      <c r="E957" s="9"/>
      <c r="F957" s="9"/>
      <c r="G957" s="9"/>
      <c r="M957" s="26"/>
      <c r="N957" s="26"/>
      <c r="O957" s="9"/>
      <c r="P957" s="9"/>
      <c r="W957" s="9"/>
      <c r="X957" s="9"/>
      <c r="Y957" s="9"/>
    </row>
    <row r="958" spans="1:25" ht="15.75" customHeight="1" x14ac:dyDescent="0.35">
      <c r="A958" s="6"/>
      <c r="E958" s="9"/>
      <c r="F958" s="9"/>
      <c r="G958" s="9"/>
      <c r="M958" s="26"/>
      <c r="N958" s="26"/>
      <c r="O958" s="9"/>
      <c r="P958" s="9"/>
      <c r="W958" s="9"/>
      <c r="X958" s="9"/>
      <c r="Y958" s="9"/>
    </row>
    <row r="959" spans="1:25" ht="15.75" customHeight="1" x14ac:dyDescent="0.35">
      <c r="A959" s="6"/>
      <c r="E959" s="9"/>
      <c r="F959" s="9"/>
      <c r="G959" s="9"/>
      <c r="M959" s="26"/>
      <c r="N959" s="26"/>
      <c r="O959" s="9"/>
      <c r="P959" s="9"/>
      <c r="W959" s="9"/>
      <c r="X959" s="9"/>
      <c r="Y959" s="9"/>
    </row>
    <row r="960" spans="1:25" ht="15.75" customHeight="1" x14ac:dyDescent="0.35">
      <c r="A960" s="6"/>
      <c r="E960" s="9"/>
      <c r="F960" s="9"/>
      <c r="G960" s="9"/>
      <c r="M960" s="26"/>
      <c r="N960" s="26"/>
      <c r="O960" s="9"/>
      <c r="P960" s="9"/>
      <c r="W960" s="9"/>
      <c r="X960" s="9"/>
      <c r="Y960" s="9"/>
    </row>
    <row r="961" spans="1:25" ht="15.75" customHeight="1" x14ac:dyDescent="0.35">
      <c r="A961" s="6"/>
      <c r="E961" s="9"/>
      <c r="F961" s="9"/>
      <c r="G961" s="9"/>
      <c r="M961" s="26"/>
      <c r="N961" s="26"/>
      <c r="O961" s="9"/>
      <c r="P961" s="9"/>
      <c r="W961" s="9"/>
      <c r="X961" s="9"/>
      <c r="Y961" s="9"/>
    </row>
    <row r="962" spans="1:25" ht="15.75" customHeight="1" x14ac:dyDescent="0.35">
      <c r="A962" s="6"/>
      <c r="E962" s="9"/>
      <c r="F962" s="9"/>
      <c r="G962" s="9"/>
      <c r="M962" s="26"/>
      <c r="N962" s="26"/>
      <c r="O962" s="9"/>
      <c r="P962" s="9"/>
      <c r="W962" s="9"/>
      <c r="X962" s="9"/>
      <c r="Y962" s="9"/>
    </row>
    <row r="963" spans="1:25" ht="15.75" customHeight="1" x14ac:dyDescent="0.35">
      <c r="A963" s="6"/>
      <c r="E963" s="9"/>
      <c r="F963" s="9"/>
      <c r="G963" s="9"/>
      <c r="M963" s="26"/>
      <c r="N963" s="26"/>
      <c r="O963" s="9"/>
      <c r="P963" s="9"/>
      <c r="W963" s="9"/>
      <c r="X963" s="9"/>
      <c r="Y963" s="9"/>
    </row>
    <row r="964" spans="1:25" ht="15.75" customHeight="1" x14ac:dyDescent="0.35">
      <c r="A964" s="6"/>
      <c r="E964" s="9"/>
      <c r="F964" s="9"/>
      <c r="G964" s="9"/>
      <c r="M964" s="26"/>
      <c r="N964" s="26"/>
      <c r="O964" s="9"/>
      <c r="P964" s="9"/>
      <c r="W964" s="9"/>
      <c r="X964" s="9"/>
      <c r="Y964" s="9"/>
    </row>
    <row r="965" spans="1:25" ht="15.75" customHeight="1" x14ac:dyDescent="0.35">
      <c r="A965" s="6"/>
      <c r="E965" s="9"/>
      <c r="F965" s="9"/>
      <c r="G965" s="9"/>
      <c r="M965" s="26"/>
      <c r="N965" s="26"/>
      <c r="O965" s="9"/>
      <c r="P965" s="9"/>
      <c r="W965" s="9"/>
      <c r="X965" s="9"/>
      <c r="Y965" s="9"/>
    </row>
    <row r="966" spans="1:25" ht="15.75" customHeight="1" x14ac:dyDescent="0.35">
      <c r="A966" s="6"/>
      <c r="E966" s="9"/>
      <c r="F966" s="9"/>
      <c r="G966" s="9"/>
      <c r="M966" s="26"/>
      <c r="N966" s="26"/>
      <c r="O966" s="9"/>
      <c r="P966" s="9"/>
      <c r="W966" s="9"/>
      <c r="X966" s="9"/>
      <c r="Y966" s="9"/>
    </row>
    <row r="967" spans="1:25" ht="15.75" customHeight="1" x14ac:dyDescent="0.35">
      <c r="A967" s="6"/>
      <c r="E967" s="9"/>
      <c r="F967" s="9"/>
      <c r="G967" s="9"/>
      <c r="M967" s="26"/>
      <c r="N967" s="26"/>
      <c r="O967" s="9"/>
      <c r="P967" s="9"/>
      <c r="W967" s="9"/>
      <c r="X967" s="9"/>
      <c r="Y967" s="9"/>
    </row>
    <row r="968" spans="1:25" ht="15.75" customHeight="1" x14ac:dyDescent="0.35">
      <c r="A968" s="6"/>
      <c r="E968" s="9"/>
      <c r="F968" s="9"/>
      <c r="G968" s="9"/>
      <c r="M968" s="26"/>
      <c r="N968" s="26"/>
      <c r="O968" s="9"/>
      <c r="P968" s="9"/>
      <c r="W968" s="9"/>
      <c r="X968" s="9"/>
      <c r="Y968" s="9"/>
    </row>
    <row r="969" spans="1:25" ht="15.75" customHeight="1" x14ac:dyDescent="0.35">
      <c r="A969" s="6"/>
      <c r="E969" s="9"/>
      <c r="F969" s="9"/>
      <c r="G969" s="9"/>
      <c r="M969" s="26"/>
      <c r="N969" s="26"/>
      <c r="O969" s="9"/>
      <c r="P969" s="9"/>
      <c r="W969" s="9"/>
      <c r="X969" s="9"/>
      <c r="Y969" s="9"/>
    </row>
    <row r="970" spans="1:25" ht="15.75" customHeight="1" x14ac:dyDescent="0.35">
      <c r="A970" s="6"/>
      <c r="E970" s="9"/>
      <c r="F970" s="9"/>
      <c r="G970" s="9"/>
      <c r="M970" s="26"/>
      <c r="N970" s="26"/>
      <c r="O970" s="9"/>
      <c r="P970" s="9"/>
      <c r="W970" s="9"/>
      <c r="X970" s="9"/>
      <c r="Y970" s="9"/>
    </row>
    <row r="971" spans="1:25" ht="15.75" customHeight="1" x14ac:dyDescent="0.35">
      <c r="A971" s="6"/>
      <c r="E971" s="9"/>
      <c r="F971" s="9"/>
      <c r="G971" s="9"/>
      <c r="M971" s="26"/>
      <c r="N971" s="26"/>
      <c r="O971" s="9"/>
      <c r="P971" s="9"/>
      <c r="W971" s="9"/>
      <c r="X971" s="9"/>
      <c r="Y971" s="9"/>
    </row>
    <row r="972" spans="1:25" ht="15.75" customHeight="1" x14ac:dyDescent="0.35">
      <c r="A972" s="6"/>
      <c r="E972" s="9"/>
      <c r="F972" s="9"/>
      <c r="G972" s="9"/>
      <c r="M972" s="26"/>
      <c r="N972" s="26"/>
      <c r="O972" s="9"/>
      <c r="P972" s="9"/>
      <c r="W972" s="9"/>
      <c r="X972" s="9"/>
      <c r="Y972" s="9"/>
    </row>
    <row r="973" spans="1:25" ht="15.75" customHeight="1" x14ac:dyDescent="0.35">
      <c r="A973" s="6"/>
      <c r="E973" s="9"/>
      <c r="F973" s="9"/>
      <c r="G973" s="9"/>
      <c r="M973" s="26"/>
      <c r="N973" s="26"/>
      <c r="O973" s="9"/>
      <c r="P973" s="9"/>
      <c r="W973" s="9"/>
      <c r="X973" s="9"/>
      <c r="Y973" s="9"/>
    </row>
    <row r="974" spans="1:25" ht="15.75" customHeight="1" x14ac:dyDescent="0.35">
      <c r="A974" s="6"/>
      <c r="E974" s="9"/>
      <c r="F974" s="9"/>
      <c r="G974" s="9"/>
      <c r="M974" s="26"/>
      <c r="N974" s="26"/>
      <c r="O974" s="9"/>
      <c r="P974" s="9"/>
      <c r="W974" s="9"/>
      <c r="X974" s="9"/>
      <c r="Y974" s="9"/>
    </row>
    <row r="975" spans="1:25" ht="15.75" customHeight="1" x14ac:dyDescent="0.35">
      <c r="A975" s="6"/>
      <c r="E975" s="9"/>
      <c r="F975" s="9"/>
      <c r="G975" s="9"/>
      <c r="M975" s="26"/>
      <c r="N975" s="26"/>
      <c r="O975" s="9"/>
      <c r="P975" s="9"/>
      <c r="W975" s="9"/>
      <c r="X975" s="9"/>
      <c r="Y975" s="9"/>
    </row>
    <row r="976" spans="1:25" ht="15.75" customHeight="1" x14ac:dyDescent="0.35">
      <c r="A976" s="6"/>
      <c r="E976" s="9"/>
      <c r="F976" s="9"/>
      <c r="G976" s="9"/>
      <c r="M976" s="26"/>
      <c r="N976" s="26"/>
      <c r="O976" s="9"/>
      <c r="P976" s="9"/>
      <c r="W976" s="9"/>
      <c r="X976" s="9"/>
      <c r="Y976" s="9"/>
    </row>
    <row r="977" spans="1:25" ht="15.75" customHeight="1" x14ac:dyDescent="0.35">
      <c r="A977" s="6"/>
      <c r="E977" s="9"/>
      <c r="F977" s="9"/>
      <c r="G977" s="9"/>
      <c r="M977" s="26"/>
      <c r="N977" s="26"/>
      <c r="O977" s="9"/>
      <c r="P977" s="9"/>
      <c r="W977" s="9"/>
      <c r="X977" s="9"/>
      <c r="Y977" s="9"/>
    </row>
    <row r="978" spans="1:25" ht="15.75" customHeight="1" x14ac:dyDescent="0.35">
      <c r="A978" s="6"/>
      <c r="E978" s="9"/>
      <c r="F978" s="9"/>
      <c r="G978" s="9"/>
      <c r="M978" s="26"/>
      <c r="N978" s="26"/>
      <c r="O978" s="9"/>
      <c r="P978" s="9"/>
      <c r="W978" s="9"/>
      <c r="X978" s="9"/>
      <c r="Y978" s="9"/>
    </row>
    <row r="979" spans="1:25" ht="15.75" customHeight="1" x14ac:dyDescent="0.35">
      <c r="A979" s="6"/>
      <c r="E979" s="9"/>
      <c r="F979" s="9"/>
      <c r="G979" s="9"/>
      <c r="M979" s="26"/>
      <c r="N979" s="26"/>
      <c r="O979" s="9"/>
      <c r="P979" s="9"/>
      <c r="W979" s="9"/>
      <c r="X979" s="9"/>
      <c r="Y979" s="9"/>
    </row>
    <row r="980" spans="1:25" ht="15.75" customHeight="1" x14ac:dyDescent="0.35">
      <c r="A980" s="6"/>
      <c r="E980" s="9"/>
      <c r="F980" s="9"/>
      <c r="G980" s="9"/>
      <c r="M980" s="26"/>
      <c r="N980" s="26"/>
      <c r="O980" s="9"/>
      <c r="P980" s="9"/>
      <c r="W980" s="9"/>
      <c r="X980" s="9"/>
      <c r="Y980" s="9"/>
    </row>
    <row r="981" spans="1:25" ht="15.75" customHeight="1" x14ac:dyDescent="0.35">
      <c r="A981" s="6"/>
      <c r="E981" s="9"/>
      <c r="F981" s="9"/>
      <c r="G981" s="9"/>
      <c r="M981" s="26"/>
      <c r="N981" s="26"/>
      <c r="O981" s="9"/>
      <c r="P981" s="9"/>
      <c r="W981" s="9"/>
      <c r="X981" s="9"/>
      <c r="Y981" s="9"/>
    </row>
    <row r="982" spans="1:25" ht="15.75" customHeight="1" x14ac:dyDescent="0.35">
      <c r="A982" s="6"/>
      <c r="E982" s="9"/>
      <c r="F982" s="9"/>
      <c r="G982" s="9"/>
      <c r="M982" s="26"/>
      <c r="N982" s="26"/>
      <c r="O982" s="9"/>
      <c r="P982" s="9"/>
      <c r="W982" s="9"/>
      <c r="X982" s="9"/>
      <c r="Y982" s="9"/>
    </row>
    <row r="983" spans="1:25" ht="15.75" customHeight="1" x14ac:dyDescent="0.35">
      <c r="A983" s="6"/>
      <c r="E983" s="9"/>
      <c r="F983" s="9"/>
      <c r="G983" s="9"/>
      <c r="M983" s="26"/>
      <c r="N983" s="26"/>
      <c r="O983" s="9"/>
      <c r="P983" s="9"/>
      <c r="W983" s="9"/>
      <c r="X983" s="9"/>
      <c r="Y983" s="9"/>
    </row>
    <row r="984" spans="1:25" ht="15.75" customHeight="1" x14ac:dyDescent="0.35">
      <c r="A984" s="6"/>
      <c r="E984" s="9"/>
      <c r="F984" s="9"/>
      <c r="G984" s="9"/>
      <c r="M984" s="26"/>
      <c r="N984" s="26"/>
      <c r="O984" s="9"/>
      <c r="P984" s="9"/>
      <c r="W984" s="9"/>
      <c r="X984" s="9"/>
      <c r="Y984" s="9"/>
    </row>
    <row r="985" spans="1:25" ht="15.75" customHeight="1" x14ac:dyDescent="0.35">
      <c r="A985" s="6"/>
      <c r="E985" s="9"/>
      <c r="F985" s="9"/>
      <c r="G985" s="9"/>
      <c r="M985" s="26"/>
      <c r="N985" s="26"/>
      <c r="O985" s="9"/>
      <c r="P985" s="9"/>
      <c r="W985" s="9"/>
      <c r="X985" s="9"/>
      <c r="Y985" s="9"/>
    </row>
    <row r="986" spans="1:25" ht="15.75" customHeight="1" x14ac:dyDescent="0.35">
      <c r="A986" s="6"/>
      <c r="E986" s="9"/>
      <c r="F986" s="9"/>
      <c r="G986" s="9"/>
      <c r="M986" s="26"/>
      <c r="N986" s="26"/>
      <c r="O986" s="9"/>
      <c r="P986" s="9"/>
      <c r="W986" s="9"/>
      <c r="X986" s="9"/>
      <c r="Y986" s="9"/>
    </row>
    <row r="987" spans="1:25" ht="15.75" customHeight="1" x14ac:dyDescent="0.35">
      <c r="A987" s="6"/>
      <c r="E987" s="9"/>
      <c r="F987" s="9"/>
      <c r="G987" s="9"/>
      <c r="M987" s="26"/>
      <c r="N987" s="26"/>
      <c r="O987" s="9"/>
      <c r="P987" s="9"/>
      <c r="W987" s="9"/>
      <c r="X987" s="9"/>
      <c r="Y987" s="9"/>
    </row>
    <row r="988" spans="1:25" ht="15.75" customHeight="1" x14ac:dyDescent="0.35">
      <c r="A988" s="6"/>
      <c r="E988" s="9"/>
      <c r="F988" s="9"/>
      <c r="G988" s="9"/>
      <c r="M988" s="26"/>
      <c r="N988" s="26"/>
      <c r="O988" s="9"/>
      <c r="P988" s="9"/>
      <c r="W988" s="9"/>
      <c r="X988" s="9"/>
      <c r="Y988" s="9"/>
    </row>
    <row r="989" spans="1:25" ht="15.75" customHeight="1" x14ac:dyDescent="0.35">
      <c r="A989" s="6"/>
      <c r="E989" s="9"/>
      <c r="F989" s="9"/>
      <c r="G989" s="9"/>
      <c r="M989" s="26"/>
      <c r="N989" s="26"/>
      <c r="O989" s="9"/>
      <c r="P989" s="9"/>
      <c r="W989" s="9"/>
      <c r="X989" s="9"/>
      <c r="Y989" s="9"/>
    </row>
    <row r="990" spans="1:25" ht="15.75" customHeight="1" x14ac:dyDescent="0.35">
      <c r="A990" s="6"/>
      <c r="E990" s="9"/>
      <c r="F990" s="9"/>
      <c r="G990" s="9"/>
      <c r="M990" s="26"/>
      <c r="N990" s="26"/>
      <c r="O990" s="9"/>
      <c r="P990" s="9"/>
      <c r="W990" s="9"/>
      <c r="X990" s="9"/>
      <c r="Y990" s="9"/>
    </row>
    <row r="991" spans="1:25" ht="15.75" customHeight="1" x14ac:dyDescent="0.35">
      <c r="A991" s="6"/>
      <c r="E991" s="9"/>
      <c r="F991" s="9"/>
      <c r="G991" s="9"/>
      <c r="M991" s="26"/>
      <c r="N991" s="26"/>
      <c r="O991" s="9"/>
      <c r="P991" s="9"/>
      <c r="W991" s="9"/>
      <c r="X991" s="9"/>
      <c r="Y991" s="9"/>
    </row>
    <row r="992" spans="1:25" ht="15.75" customHeight="1" x14ac:dyDescent="0.35">
      <c r="A992" s="6"/>
      <c r="E992" s="9"/>
      <c r="F992" s="9"/>
      <c r="G992" s="9"/>
      <c r="M992" s="26"/>
      <c r="N992" s="26"/>
      <c r="O992" s="9"/>
      <c r="P992" s="9"/>
      <c r="W992" s="9"/>
      <c r="X992" s="9"/>
      <c r="Y992" s="9"/>
    </row>
    <row r="993" spans="1:25" ht="15.75" customHeight="1" x14ac:dyDescent="0.35">
      <c r="A993" s="6"/>
      <c r="E993" s="9"/>
      <c r="F993" s="9"/>
      <c r="G993" s="9"/>
      <c r="M993" s="26"/>
      <c r="N993" s="26"/>
      <c r="O993" s="9"/>
      <c r="P993" s="9"/>
      <c r="W993" s="9"/>
      <c r="X993" s="9"/>
      <c r="Y993" s="9"/>
    </row>
    <row r="994" spans="1:25" ht="15.75" customHeight="1" x14ac:dyDescent="0.35">
      <c r="A994" s="6"/>
      <c r="E994" s="9"/>
      <c r="F994" s="9"/>
      <c r="G994" s="9"/>
      <c r="M994" s="26"/>
      <c r="N994" s="26"/>
      <c r="O994" s="9"/>
      <c r="P994" s="9"/>
      <c r="W994" s="9"/>
      <c r="X994" s="9"/>
      <c r="Y994" s="9"/>
    </row>
    <row r="995" spans="1:25" ht="15.75" customHeight="1" x14ac:dyDescent="0.35">
      <c r="A995" s="6"/>
      <c r="E995" s="9"/>
      <c r="F995" s="9"/>
      <c r="G995" s="9"/>
      <c r="M995" s="26"/>
      <c r="N995" s="26"/>
      <c r="O995" s="9"/>
      <c r="P995" s="9"/>
      <c r="W995" s="9"/>
      <c r="X995" s="9"/>
      <c r="Y995" s="9"/>
    </row>
    <row r="996" spans="1:25" ht="15.75" customHeight="1" x14ac:dyDescent="0.35">
      <c r="A996" s="6"/>
      <c r="E996" s="9"/>
      <c r="F996" s="9"/>
      <c r="G996" s="9"/>
      <c r="M996" s="26"/>
      <c r="N996" s="26"/>
      <c r="O996" s="9"/>
      <c r="P996" s="9"/>
      <c r="W996" s="9"/>
      <c r="X996" s="9"/>
      <c r="Y996" s="9"/>
    </row>
    <row r="997" spans="1:25" ht="15.75" customHeight="1" x14ac:dyDescent="0.35">
      <c r="A997" s="6"/>
      <c r="E997" s="9"/>
      <c r="F997" s="9"/>
      <c r="G997" s="9"/>
      <c r="M997" s="26"/>
      <c r="N997" s="26"/>
      <c r="O997" s="9"/>
      <c r="P997" s="9"/>
      <c r="W997" s="9"/>
      <c r="X997" s="9"/>
      <c r="Y997" s="9"/>
    </row>
    <row r="998" spans="1:25" ht="15.75" customHeight="1" x14ac:dyDescent="0.35">
      <c r="A998" s="6"/>
      <c r="E998" s="9"/>
      <c r="F998" s="9"/>
      <c r="G998" s="9"/>
      <c r="M998" s="26"/>
      <c r="N998" s="26"/>
      <c r="O998" s="9"/>
      <c r="P998" s="9"/>
      <c r="W998" s="9"/>
      <c r="X998" s="9"/>
      <c r="Y998" s="9"/>
    </row>
    <row r="999" spans="1:25" ht="15.75" customHeight="1" x14ac:dyDescent="0.35">
      <c r="A999" s="6"/>
      <c r="E999" s="9"/>
      <c r="F999" s="9"/>
      <c r="G999" s="9"/>
      <c r="M999" s="26"/>
      <c r="N999" s="26"/>
      <c r="O999" s="9"/>
      <c r="P999" s="9"/>
      <c r="W999" s="9"/>
      <c r="X999" s="9"/>
      <c r="Y999" s="9"/>
    </row>
    <row r="1000" spans="1:25" ht="15.75" customHeight="1" x14ac:dyDescent="0.35">
      <c r="A1000" s="6"/>
      <c r="E1000" s="9"/>
      <c r="F1000" s="9"/>
      <c r="G1000" s="9"/>
      <c r="M1000" s="26"/>
      <c r="N1000" s="26"/>
      <c r="O1000" s="9"/>
      <c r="P1000" s="9"/>
      <c r="W1000" s="9"/>
      <c r="X1000" s="9"/>
      <c r="Y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Attendants</vt:lpstr>
      <vt:lpstr>Tank_Readings</vt:lpstr>
      <vt:lpstr>Corporate_Credit_Sales</vt:lpstr>
      <vt:lpstr>Credit_Sales</vt:lpstr>
      <vt:lpstr>Expenses</vt:lpstr>
      <vt:lpstr>Transporters</vt:lpstr>
      <vt:lpstr>Calendar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Dickson Antiri</cp:lastModifiedBy>
  <dcterms:modified xsi:type="dcterms:W3CDTF">2025-11-10T08:44:05Z</dcterms:modified>
</cp:coreProperties>
</file>